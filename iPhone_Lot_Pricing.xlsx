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2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Assumptions" sheetId="1" state="visible" r:id="rId3"/>
    <sheet name="Auction Inventory" sheetId="2" state="visible" r:id="rId4"/>
    <sheet name="Summary by Model" sheetId="3" state="visible" r:id="rId5"/>
    <sheet name="Summary by Grade" sheetId="4" state="visible" r:id="rId6"/>
    <sheet name="Summary by Storage" sheetId="5" state="visible" r:id="rId7"/>
  </sheets>
  <definedNames>
    <definedName function="false" hidden="true" localSheetId="1" name="_xlnm._FilterDatabase" vbProcedure="false">'Auction Inventory'!$A$1:$P$97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<sst xmlns="http://schemas.openxmlformats.org/spreadsheetml/2006/main" count="874" uniqueCount="192">
  <si>
    <t xml:space="preserve">Superior Wireless Auctions (B-Stock) — iPhone Lot Pricing</t>
  </si>
  <si>
    <t xml:space="preserve">&lt;-- Blue text on yellow = the only cell you edit. All totals recalculate from it.</t>
  </si>
  <si>
    <t xml:space="preserve">HOW THE NUMBERS ARE BUILT</t>
  </si>
  <si>
    <t xml:space="preserve">    Bulk Price          = the lot's Current bid on the auction page (what the lot costs at that bid).</t>
  </si>
  <si>
    <t xml:space="preserve">    Fee @ 2%            = Bulk Price x 2%.</t>
  </si>
  <si>
    <t xml:space="preserve">    Total Excl. Shipping = Bulk Price + Fee. Excludes shipping, tax, and any other charges.</t>
  </si>
  <si>
    <t xml:space="preserve">    Cost Per Unit       = Total Excl. Shipping / Units.</t>
  </si>
  <si>
    <t xml:space="preserve">ASSUMPTIONS AND CAVEATS</t>
  </si>
  <si>
    <t xml:space="preserve">    1. "Multiply bulk price by 2%" is read as a 2% buyer fee ADDED to the bulk price.</t>
  </si>
  <si>
    <t xml:space="preserve">       The standalone 2% amount is also shown in its own column if you meant the fee alone.</t>
  </si>
  <si>
    <t xml:space="preserve">    2. Source page shows lots 1-96 of 208 (page 1 of 3). Pages 2 and 3 are NOT in this file.</t>
  </si>
  <si>
    <t xml:space="preserve">    3. These are LIVE auctions. Current bid rises with each new bid, so every price here is a</t>
  </si>
  <si>
    <t xml:space="preserve">       snapshot from the saved page, not a settled cost.</t>
  </si>
  <si>
    <t xml:space="preserve">    4. Shipping is excluded, per request. B-Stock lots ship from Dallas, TX.</t>
  </si>
  <si>
    <t xml:space="preserve">    5. Grade is taken verbatim from the lot title (New, A, A/B, B, B/C, C).</t>
  </si>
  <si>
    <t xml:space="preserve">    6. Lots titled "Mixed Carrier" or with no storage in the title are marked</t>
  </si>
  <si>
    <t xml:space="preserve">       "Mixed / Not specified" — open the auction link for the manifest.</t>
  </si>
  <si>
    <t xml:space="preserve">SOURCE</t>
  </si>
  <si>
    <t xml:space="preserve">    Superior Wireless Auction - Smartphone Liquidation | B-Stock</t>
  </si>
  <si>
    <t xml:space="preserve">    https://bstock.com/superior/cell-phones/?limit=96</t>
  </si>
  <si>
    <t xml:space="preserve">    Saved page supplied by user; captured 2026-08-02.</t>
  </si>
  <si>
    <t xml:space="preserve">Auction ID</t>
  </si>
  <si>
    <t xml:space="preserve">iPhone Model</t>
  </si>
  <si>
    <t xml:space="preserve">Storage</t>
  </si>
  <si>
    <t xml:space="preserve">Grade</t>
  </si>
  <si>
    <t xml:space="preserve">Units</t>
  </si>
  <si>
    <t xml:space="preserve">Carrier</t>
  </si>
  <si>
    <t xml:space="preserve">Handset Only</t>
  </si>
  <si>
    <t xml:space="preserve">Bulk Price (Current Bid)</t>
  </si>
  <si>
    <t xml:space="preserve">Site Avg $/Unit</t>
  </si>
  <si>
    <t xml:space="preserve">Fee @ 2%</t>
  </si>
  <si>
    <t xml:space="preserve">Total Excl. Shipping</t>
  </si>
  <si>
    <t xml:space="preserve">Cost Per Unit</t>
  </si>
  <si>
    <t xml:space="preserve">Bids</t>
  </si>
  <si>
    <t xml:space="preserve">Closes In</t>
  </si>
  <si>
    <t xml:space="preserve">Location</t>
  </si>
  <si>
    <t xml:space="preserve">Auction Link</t>
  </si>
  <si>
    <t xml:space="preserve">iPhone 17 Pro Max</t>
  </si>
  <si>
    <t xml:space="preserve">512GB</t>
  </si>
  <si>
    <t xml:space="preserve">New</t>
  </si>
  <si>
    <t xml:space="preserve">T-Mobile</t>
  </si>
  <si>
    <t xml:space="preserve">Yes</t>
  </si>
  <si>
    <t xml:space="preserve">1d 8h</t>
  </si>
  <si>
    <t xml:space="preserve">Dallas, TX</t>
  </si>
  <si>
    <t xml:space="preserve">https://bstock.com/superior/auction/auction/view/id/50370/</t>
  </si>
  <si>
    <t xml:space="preserve">256GB</t>
  </si>
  <si>
    <t xml:space="preserve">A</t>
  </si>
  <si>
    <t xml:space="preserve">Generic</t>
  </si>
  <si>
    <t xml:space="preserve">No</t>
  </si>
  <si>
    <t xml:space="preserve">https://bstock.com/superior/auction/auction/view/id/50424/</t>
  </si>
  <si>
    <t xml:space="preserve">iPhone 17 Pro</t>
  </si>
  <si>
    <t xml:space="preserve">B</t>
  </si>
  <si>
    <t xml:space="preserve">https://bstock.com/superior/auction/auction/view/id/50429/</t>
  </si>
  <si>
    <t xml:space="preserve">iPhone 17</t>
  </si>
  <si>
    <t xml:space="preserve">https://bstock.com/superior/auction/auction/view/id/50423/</t>
  </si>
  <si>
    <t xml:space="preserve">AT&amp;T</t>
  </si>
  <si>
    <t xml:space="preserve">https://bstock.com/superior/auction/auction/view/id/50427/</t>
  </si>
  <si>
    <t xml:space="preserve">https://bstock.com/superior/auction/auction/view/id/50422/</t>
  </si>
  <si>
    <t xml:space="preserve">C</t>
  </si>
  <si>
    <t xml:space="preserve">https://bstock.com/superior/auction/auction/view/id/50428/</t>
  </si>
  <si>
    <t xml:space="preserve">iPhone 16 Pro Max</t>
  </si>
  <si>
    <t xml:space="preserve">1TB</t>
  </si>
  <si>
    <t xml:space="preserve">https://bstock.com/superior/auction/auction/view/id/50412/</t>
  </si>
  <si>
    <t xml:space="preserve">https://bstock.com/superior/auction/auction/view/id/50416/</t>
  </si>
  <si>
    <t xml:space="preserve">https://bstock.com/superior/auction/auction/view/id/50411/</t>
  </si>
  <si>
    <t xml:space="preserve">https://bstock.com/superior/auction/auction/view/id/50417/</t>
  </si>
  <si>
    <t xml:space="preserve">iPhone 16 Pro</t>
  </si>
  <si>
    <t xml:space="preserve">1d 9h</t>
  </si>
  <si>
    <t xml:space="preserve">https://bstock.com/superior/auction/auction/view/id/50410/</t>
  </si>
  <si>
    <t xml:space="preserve">iPhone 16 Plus</t>
  </si>
  <si>
    <t xml:space="preserve">https://bstock.com/superior/auction/auction/view/id/50415/</t>
  </si>
  <si>
    <t xml:space="preserve">https://bstock.com/superior/auction/auction/view/id/50420/</t>
  </si>
  <si>
    <t xml:space="preserve">128GB</t>
  </si>
  <si>
    <t xml:space="preserve">https://bstock.com/superior/auction/auction/view/id/50414/</t>
  </si>
  <si>
    <t xml:space="preserve">https://bstock.com/superior/auction/auction/view/id/50409/</t>
  </si>
  <si>
    <t xml:space="preserve">iPhone 16</t>
  </si>
  <si>
    <t xml:space="preserve">https://bstock.com/superior/auction/auction/view/id/50419/</t>
  </si>
  <si>
    <t xml:space="preserve">https://bstock.com/superior/auction/auction/view/id/50348/</t>
  </si>
  <si>
    <t xml:space="preserve">iPhone 16e</t>
  </si>
  <si>
    <t xml:space="preserve">https://bstock.com/superior/auction/auction/view/id/50426/</t>
  </si>
  <si>
    <t xml:space="preserve">https://bstock.com/superior/auction/auction/view/id/50421/</t>
  </si>
  <si>
    <t xml:space="preserve">https://bstock.com/superior/auction/auction/view/id/50369/</t>
  </si>
  <si>
    <t xml:space="preserve">iPhone 15 Pro Max</t>
  </si>
  <si>
    <t xml:space="preserve">https://bstock.com/superior/auction/auction/view/id/50408/</t>
  </si>
  <si>
    <t xml:space="preserve">https://bstock.com/superior/auction/auction/view/id/50407/</t>
  </si>
  <si>
    <t xml:space="preserve">https://bstock.com/superior/auction/auction/view/id/50406/</t>
  </si>
  <si>
    <t xml:space="preserve">https://bstock.com/superior/auction/auction/view/id/50400/</t>
  </si>
  <si>
    <t xml:space="preserve">https://bstock.com/superior/auction/auction/view/id/50343/</t>
  </si>
  <si>
    <t xml:space="preserve">https://bstock.com/superior/auction/auction/view/id/50347/</t>
  </si>
  <si>
    <t xml:space="preserve">iPhone 15 Pro</t>
  </si>
  <si>
    <t xml:space="preserve">https://bstock.com/superior/auction/auction/view/id/50413/</t>
  </si>
  <si>
    <t xml:space="preserve">https://bstock.com/superior/auction/auction/view/id/50399/</t>
  </si>
  <si>
    <t xml:space="preserve">https://bstock.com/superior/auction/auction/view/id/50405/</t>
  </si>
  <si>
    <t xml:space="preserve">https://bstock.com/superior/auction/auction/view/id/50345/</t>
  </si>
  <si>
    <t xml:space="preserve">https://bstock.com/superior/auction/auction/view/id/50354/</t>
  </si>
  <si>
    <t xml:space="preserve">iPhone 15 Plus</t>
  </si>
  <si>
    <t xml:space="preserve">https://bstock.com/superior/auction/auction/view/id/50404/</t>
  </si>
  <si>
    <t xml:space="preserve">https://bstock.com/superior/auction/auction/view/id/50397/</t>
  </si>
  <si>
    <t xml:space="preserve">https://bstock.com/superior/auction/auction/view/id/50349/</t>
  </si>
  <si>
    <t xml:space="preserve">https://bstock.com/superior/auction/auction/view/id/50360/</t>
  </si>
  <si>
    <t xml:space="preserve">https://bstock.com/superior/auction/auction/view/id/50398/</t>
  </si>
  <si>
    <t xml:space="preserve">iPhone 15</t>
  </si>
  <si>
    <t xml:space="preserve">https://bstock.com/superior/auction/auction/view/id/50418/</t>
  </si>
  <si>
    <t xml:space="preserve">https://bstock.com/superior/auction/auction/view/id/50403/</t>
  </si>
  <si>
    <t xml:space="preserve">https://bstock.com/superior/auction/auction/view/id/50396/</t>
  </si>
  <si>
    <t xml:space="preserve">https://bstock.com/superior/auction/auction/view/id/50337/</t>
  </si>
  <si>
    <t xml:space="preserve">https://bstock.com/superior/auction/auction/view/id/50331/</t>
  </si>
  <si>
    <t xml:space="preserve">https://bstock.com/superior/auction/auction/view/id/50353/</t>
  </si>
  <si>
    <t xml:space="preserve">iPhone 14 Pro Max</t>
  </si>
  <si>
    <t xml:space="preserve">https://bstock.com/superior/auction/auction/view/id/50395/</t>
  </si>
  <si>
    <t xml:space="preserve">https://bstock.com/superior/auction/auction/view/id/50402/</t>
  </si>
  <si>
    <t xml:space="preserve">https://bstock.com/superior/auction/auction/view/id/50335/</t>
  </si>
  <si>
    <t xml:space="preserve">https://bstock.com/superior/auction/auction/view/id/50355/</t>
  </si>
  <si>
    <t xml:space="preserve">iPhone 14 Pro</t>
  </si>
  <si>
    <t xml:space="preserve">https://bstock.com/superior/auction/auction/view/id/50401/</t>
  </si>
  <si>
    <t xml:space="preserve">https://bstock.com/superior/auction/auction/view/id/50394/</t>
  </si>
  <si>
    <t xml:space="preserve">https://bstock.com/superior/auction/auction/view/id/50332/</t>
  </si>
  <si>
    <t xml:space="preserve">https://bstock.com/superior/auction/auction/view/id/50357/</t>
  </si>
  <si>
    <t xml:space="preserve">iPhone 14 Plus</t>
  </si>
  <si>
    <t xml:space="preserve">https://bstock.com/superior/auction/auction/view/id/50393/</t>
  </si>
  <si>
    <t xml:space="preserve">https://bstock.com/superior/auction/auction/view/id/50368/</t>
  </si>
  <si>
    <t xml:space="preserve">https://bstock.com/superior/auction/auction/view/id/50344/</t>
  </si>
  <si>
    <t xml:space="preserve">https://bstock.com/superior/auction/auction/view/id/50358/</t>
  </si>
  <si>
    <t xml:space="preserve">https://bstock.com/superior/auction/auction/view/id/50387/</t>
  </si>
  <si>
    <t xml:space="preserve">iPhone 14</t>
  </si>
  <si>
    <t xml:space="preserve">https://bstock.com/superior/auction/auction/view/id/50392/</t>
  </si>
  <si>
    <t xml:space="preserve">https://bstock.com/superior/auction/auction/view/id/50346/</t>
  </si>
  <si>
    <t xml:space="preserve">https://bstock.com/superior/auction/auction/view/id/50359/</t>
  </si>
  <si>
    <t xml:space="preserve">https://bstock.com/superior/auction/auction/view/id/50350/</t>
  </si>
  <si>
    <t xml:space="preserve">iPhone 13 Pro Max</t>
  </si>
  <si>
    <t xml:space="preserve">https://bstock.com/superior/auction/auction/view/id/50334/</t>
  </si>
  <si>
    <t xml:space="preserve">https://bstock.com/superior/auction/auction/view/id/50356/</t>
  </si>
  <si>
    <t xml:space="preserve">https://bstock.com/superior/auction/auction/view/id/50386/</t>
  </si>
  <si>
    <t xml:space="preserve">iPhone 13 Pro</t>
  </si>
  <si>
    <t xml:space="preserve">1d 10h</t>
  </si>
  <si>
    <t xml:space="preserve">https://bstock.com/superior/auction/auction/view/id/50391/</t>
  </si>
  <si>
    <t xml:space="preserve">https://bstock.com/superior/auction/auction/view/id/50341/</t>
  </si>
  <si>
    <t xml:space="preserve">https://bstock.com/superior/auction/auction/view/id/50352/</t>
  </si>
  <si>
    <t xml:space="preserve">iPhone 13</t>
  </si>
  <si>
    <t xml:space="preserve">https://bstock.com/superior/auction/auction/view/id/50385/</t>
  </si>
  <si>
    <t xml:space="preserve">https://bstock.com/superior/auction/auction/view/id/50383/</t>
  </si>
  <si>
    <t xml:space="preserve">https://bstock.com/superior/auction/auction/view/id/50390/</t>
  </si>
  <si>
    <t xml:space="preserve">https://bstock.com/superior/auction/auction/view/id/50338/</t>
  </si>
  <si>
    <t xml:space="preserve">https://bstock.com/superior/auction/auction/view/id/50330/</t>
  </si>
  <si>
    <t xml:space="preserve">iPhone 13 Mini</t>
  </si>
  <si>
    <t xml:space="preserve">https://bstock.com/superior/auction/auction/view/id/50388/</t>
  </si>
  <si>
    <t xml:space="preserve">https://bstock.com/superior/auction/auction/view/id/50384/</t>
  </si>
  <si>
    <t xml:space="preserve">https://bstock.com/superior/auction/auction/view/id/50342/</t>
  </si>
  <si>
    <t xml:space="preserve">iPhone 12 Pro Max</t>
  </si>
  <si>
    <t xml:space="preserve">https://bstock.com/superior/auction/auction/view/id/50382/</t>
  </si>
  <si>
    <t xml:space="preserve">https://bstock.com/superior/auction/auction/view/id/50336/</t>
  </si>
  <si>
    <t xml:space="preserve">iPhone 12</t>
  </si>
  <si>
    <t xml:space="preserve">64GB</t>
  </si>
  <si>
    <t xml:space="preserve">https://bstock.com/superior/auction/auction/view/id/50389/</t>
  </si>
  <si>
    <t xml:space="preserve">https://bstock.com/superior/auction/auction/view/id/50333/</t>
  </si>
  <si>
    <t xml:space="preserve">iPhone 12 Mini</t>
  </si>
  <si>
    <t xml:space="preserve">https://bstock.com/superior/auction/auction/view/id/50378/</t>
  </si>
  <si>
    <t xml:space="preserve">iPhone 11 Pro Max</t>
  </si>
  <si>
    <t xml:space="preserve">https://bstock.com/superior/auction/auction/view/id/50381/</t>
  </si>
  <si>
    <t xml:space="preserve">https://bstock.com/superior/auction/auction/view/id/50377/</t>
  </si>
  <si>
    <t xml:space="preserve">iPhone 11 Pro</t>
  </si>
  <si>
    <t xml:space="preserve">https://bstock.com/superior/auction/auction/view/id/50376/</t>
  </si>
  <si>
    <t xml:space="preserve">Mixed / Not specified</t>
  </si>
  <si>
    <t xml:space="preserve">Mixed Carrier</t>
  </si>
  <si>
    <t xml:space="preserve">https://bstock.com/superior/auction/auction/view/id/50380/</t>
  </si>
  <si>
    <t xml:space="preserve">iPhone 11</t>
  </si>
  <si>
    <t xml:space="preserve">https://bstock.com/superior/auction/auction/view/id/50372/</t>
  </si>
  <si>
    <t xml:space="preserve">https://bstock.com/superior/auction/auction/view/id/50371/</t>
  </si>
  <si>
    <t xml:space="preserve">https://bstock.com/superior/auction/auction/view/id/50340/</t>
  </si>
  <si>
    <t xml:space="preserve">https://bstock.com/superior/auction/auction/view/id/50351/</t>
  </si>
  <si>
    <t xml:space="preserve">A/B</t>
  </si>
  <si>
    <t xml:space="preserve">https://bstock.com/superior/auction/auction/view/id/50365/</t>
  </si>
  <si>
    <t xml:space="preserve">iPhone SE (2022)</t>
  </si>
  <si>
    <t xml:space="preserve">https://bstock.com/superior/auction/auction/view/id/50425/</t>
  </si>
  <si>
    <t xml:space="preserve">B/C</t>
  </si>
  <si>
    <t xml:space="preserve">https://bstock.com/superior/auction/auction/view/id/50362/</t>
  </si>
  <si>
    <t xml:space="preserve">https://bstock.com/superior/auction/auction/view/id/50339/</t>
  </si>
  <si>
    <t xml:space="preserve">iPhone SE (2020)</t>
  </si>
  <si>
    <t xml:space="preserve">https://bstock.com/superior/auction/auction/view/id/50366/</t>
  </si>
  <si>
    <t xml:space="preserve">https://bstock.com/superior/auction/auction/view/id/50363/</t>
  </si>
  <si>
    <t xml:space="preserve">iPhone SE (2022) &amp; iPhone XR</t>
  </si>
  <si>
    <t xml:space="preserve">https://bstock.com/superior/auction/auction/view/id/50367/</t>
  </si>
  <si>
    <t xml:space="preserve">iPhone SE (2020) &amp; iPhone SE (2022)</t>
  </si>
  <si>
    <t xml:space="preserve">https://bstock.com/superior/auction/auction/view/id/50364/</t>
  </si>
  <si>
    <t xml:space="preserve">iPhone XR, iPhone SE (2020), iPhone SE (2022) &amp; More</t>
  </si>
  <si>
    <t xml:space="preserve">https://bstock.com/superior/auction/auction/view/id/50361/</t>
  </si>
  <si>
    <t xml:space="preserve">TOTAL / BLENDED</t>
  </si>
  <si>
    <t xml:space="preserve">&lt;- blended cost per unit across all lots on this page</t>
  </si>
  <si>
    <t xml:space="preserve">Model</t>
  </si>
  <si>
    <t xml:space="preserve">Lots</t>
  </si>
  <si>
    <t xml:space="preserve">Bulk Price Total</t>
  </si>
  <si>
    <t xml:space="preserve">Blended Cost Per Unit</t>
  </si>
</sst>
</file>

<file path=xl/styles.xml><?xml version="1.0" encoding="utf-8"?>
<styleSheet xmlns="http://schemas.openxmlformats.org/spreadsheetml/2006/main">
  <numFmts count="4">
    <numFmt numFmtId="164" formatCode="General"/>
    <numFmt numFmtId="165" formatCode="0.0%"/>
    <numFmt numFmtId="166" formatCode="#,##0"/>
    <numFmt numFmtId="167" formatCode="\$#,##0.00"/>
  </numFmts>
  <fonts count="12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1F3864"/>
      <name val="Arial"/>
      <family val="0"/>
      <charset val="1"/>
    </font>
    <font>
      <b val="true"/>
      <sz val="10"/>
      <name val="Arial"/>
      <family val="0"/>
      <charset val="1"/>
    </font>
    <font>
      <sz val="10"/>
      <name val="Arial"/>
      <family val="0"/>
      <charset val="1"/>
    </font>
    <font>
      <sz val="10"/>
      <color rgb="FF0000FF"/>
      <name val="Arial"/>
      <family val="0"/>
      <charset val="1"/>
    </font>
    <font>
      <i val="true"/>
      <sz val="9"/>
      <color rgb="FF808080"/>
      <name val="Arial"/>
      <family val="0"/>
      <charset val="1"/>
    </font>
    <font>
      <b val="true"/>
      <sz val="10"/>
      <color rgb="FF1F3864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u val="single"/>
      <sz val="9"/>
      <color rgb="FF0563C1"/>
      <name val="Arial"/>
      <family val="0"/>
      <charset val="1"/>
    </font>
  </fonts>
  <fills count="6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rgb="FF1F3864"/>
        <bgColor rgb="FF333333"/>
      </patternFill>
    </fill>
    <fill>
      <patternFill patternType="solid">
        <fgColor rgb="FFF2F5FA"/>
        <bgColor rgb="FFFFFFFF"/>
      </patternFill>
    </fill>
    <fill>
      <patternFill patternType="solid">
        <fgColor rgb="FFDDE3EF"/>
        <bgColor rgb="FFF2F5FA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6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7" fillId="2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0" fillId="3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6" fillId="0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6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6" fillId="0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7" fontId="6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1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4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6" fillId="4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6" fillId="4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7" fontId="6" fillId="4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1" fillId="4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5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6" fontId="5" fillId="5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5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5" fillId="5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8" fillId="5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6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6" fillId="4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5">
    <dxf>
      <fill>
        <patternFill patternType="solid">
          <fgColor rgb="FF1F3864"/>
          <bgColor rgb="FF000000"/>
        </patternFill>
      </fill>
    </dxf>
    <dxf>
      <fill>
        <patternFill patternType="solid">
          <fgColor rgb="FFF2F5FA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0563C1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2F5FA"/>
      <rgbColor rgb="FFCCFFFF"/>
      <rgbColor rgb="FF660066"/>
      <rgbColor rgb="FFFF8080"/>
      <rgbColor rgb="FF0563C1"/>
      <rgbColor rgb="FFDDE3E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hyperlink" Target="https://bstock.com/superior/auction/auction/view/id/50370/" TargetMode="External"/><Relationship Id="rId2" Type="http://schemas.openxmlformats.org/officeDocument/2006/relationships/hyperlink" Target="https://bstock.com/superior/auction/auction/view/id/50424/" TargetMode="External"/><Relationship Id="rId3" Type="http://schemas.openxmlformats.org/officeDocument/2006/relationships/hyperlink" Target="https://bstock.com/superior/auction/auction/view/id/50429/" TargetMode="External"/><Relationship Id="rId4" Type="http://schemas.openxmlformats.org/officeDocument/2006/relationships/hyperlink" Target="https://bstock.com/superior/auction/auction/view/id/50423/" TargetMode="External"/><Relationship Id="rId5" Type="http://schemas.openxmlformats.org/officeDocument/2006/relationships/hyperlink" Target="https://bstock.com/superior/auction/auction/view/id/50427/" TargetMode="External"/><Relationship Id="rId6" Type="http://schemas.openxmlformats.org/officeDocument/2006/relationships/hyperlink" Target="https://bstock.com/superior/auction/auction/view/id/50422/" TargetMode="External"/><Relationship Id="rId7" Type="http://schemas.openxmlformats.org/officeDocument/2006/relationships/hyperlink" Target="https://bstock.com/superior/auction/auction/view/id/50428/" TargetMode="External"/><Relationship Id="rId8" Type="http://schemas.openxmlformats.org/officeDocument/2006/relationships/hyperlink" Target="https://bstock.com/superior/auction/auction/view/id/50412/" TargetMode="External"/><Relationship Id="rId9" Type="http://schemas.openxmlformats.org/officeDocument/2006/relationships/hyperlink" Target="https://bstock.com/superior/auction/auction/view/id/50416/" TargetMode="External"/><Relationship Id="rId10" Type="http://schemas.openxmlformats.org/officeDocument/2006/relationships/hyperlink" Target="https://bstock.com/superior/auction/auction/view/id/50411/" TargetMode="External"/><Relationship Id="rId11" Type="http://schemas.openxmlformats.org/officeDocument/2006/relationships/hyperlink" Target="https://bstock.com/superior/auction/auction/view/id/50417/" TargetMode="External"/><Relationship Id="rId12" Type="http://schemas.openxmlformats.org/officeDocument/2006/relationships/hyperlink" Target="https://bstock.com/superior/auction/auction/view/id/50410/" TargetMode="External"/><Relationship Id="rId13" Type="http://schemas.openxmlformats.org/officeDocument/2006/relationships/hyperlink" Target="https://bstock.com/superior/auction/auction/view/id/50415/" TargetMode="External"/><Relationship Id="rId14" Type="http://schemas.openxmlformats.org/officeDocument/2006/relationships/hyperlink" Target="https://bstock.com/superior/auction/auction/view/id/50420/" TargetMode="External"/><Relationship Id="rId15" Type="http://schemas.openxmlformats.org/officeDocument/2006/relationships/hyperlink" Target="https://bstock.com/superior/auction/auction/view/id/50414/" TargetMode="External"/><Relationship Id="rId16" Type="http://schemas.openxmlformats.org/officeDocument/2006/relationships/hyperlink" Target="https://bstock.com/superior/auction/auction/view/id/50409/" TargetMode="External"/><Relationship Id="rId17" Type="http://schemas.openxmlformats.org/officeDocument/2006/relationships/hyperlink" Target="https://bstock.com/superior/auction/auction/view/id/50419/" TargetMode="External"/><Relationship Id="rId18" Type="http://schemas.openxmlformats.org/officeDocument/2006/relationships/hyperlink" Target="https://bstock.com/superior/auction/auction/view/id/50348/" TargetMode="External"/><Relationship Id="rId19" Type="http://schemas.openxmlformats.org/officeDocument/2006/relationships/hyperlink" Target="https://bstock.com/superior/auction/auction/view/id/50426/" TargetMode="External"/><Relationship Id="rId20" Type="http://schemas.openxmlformats.org/officeDocument/2006/relationships/hyperlink" Target="https://bstock.com/superior/auction/auction/view/id/50421/" TargetMode="External"/><Relationship Id="rId21" Type="http://schemas.openxmlformats.org/officeDocument/2006/relationships/hyperlink" Target="https://bstock.com/superior/auction/auction/view/id/50369/" TargetMode="External"/><Relationship Id="rId22" Type="http://schemas.openxmlformats.org/officeDocument/2006/relationships/hyperlink" Target="https://bstock.com/superior/auction/auction/view/id/50408/" TargetMode="External"/><Relationship Id="rId23" Type="http://schemas.openxmlformats.org/officeDocument/2006/relationships/hyperlink" Target="https://bstock.com/superior/auction/auction/view/id/50407/" TargetMode="External"/><Relationship Id="rId24" Type="http://schemas.openxmlformats.org/officeDocument/2006/relationships/hyperlink" Target="https://bstock.com/superior/auction/auction/view/id/50406/" TargetMode="External"/><Relationship Id="rId25" Type="http://schemas.openxmlformats.org/officeDocument/2006/relationships/hyperlink" Target="https://bstock.com/superior/auction/auction/view/id/50400/" TargetMode="External"/><Relationship Id="rId26" Type="http://schemas.openxmlformats.org/officeDocument/2006/relationships/hyperlink" Target="https://bstock.com/superior/auction/auction/view/id/50343/" TargetMode="External"/><Relationship Id="rId27" Type="http://schemas.openxmlformats.org/officeDocument/2006/relationships/hyperlink" Target="https://bstock.com/superior/auction/auction/view/id/50347/" TargetMode="External"/><Relationship Id="rId28" Type="http://schemas.openxmlformats.org/officeDocument/2006/relationships/hyperlink" Target="https://bstock.com/superior/auction/auction/view/id/50413/" TargetMode="External"/><Relationship Id="rId29" Type="http://schemas.openxmlformats.org/officeDocument/2006/relationships/hyperlink" Target="https://bstock.com/superior/auction/auction/view/id/50399/" TargetMode="External"/><Relationship Id="rId30" Type="http://schemas.openxmlformats.org/officeDocument/2006/relationships/hyperlink" Target="https://bstock.com/superior/auction/auction/view/id/50405/" TargetMode="External"/><Relationship Id="rId31" Type="http://schemas.openxmlformats.org/officeDocument/2006/relationships/hyperlink" Target="https://bstock.com/superior/auction/auction/view/id/50345/" TargetMode="External"/><Relationship Id="rId32" Type="http://schemas.openxmlformats.org/officeDocument/2006/relationships/hyperlink" Target="https://bstock.com/superior/auction/auction/view/id/50354/" TargetMode="External"/><Relationship Id="rId33" Type="http://schemas.openxmlformats.org/officeDocument/2006/relationships/hyperlink" Target="https://bstock.com/superior/auction/auction/view/id/50404/" TargetMode="External"/><Relationship Id="rId34" Type="http://schemas.openxmlformats.org/officeDocument/2006/relationships/hyperlink" Target="https://bstock.com/superior/auction/auction/view/id/50397/" TargetMode="External"/><Relationship Id="rId35" Type="http://schemas.openxmlformats.org/officeDocument/2006/relationships/hyperlink" Target="https://bstock.com/superior/auction/auction/view/id/50349/" TargetMode="External"/><Relationship Id="rId36" Type="http://schemas.openxmlformats.org/officeDocument/2006/relationships/hyperlink" Target="https://bstock.com/superior/auction/auction/view/id/50360/" TargetMode="External"/><Relationship Id="rId37" Type="http://schemas.openxmlformats.org/officeDocument/2006/relationships/hyperlink" Target="https://bstock.com/superior/auction/auction/view/id/50398/" TargetMode="External"/><Relationship Id="rId38" Type="http://schemas.openxmlformats.org/officeDocument/2006/relationships/hyperlink" Target="https://bstock.com/superior/auction/auction/view/id/50418/" TargetMode="External"/><Relationship Id="rId39" Type="http://schemas.openxmlformats.org/officeDocument/2006/relationships/hyperlink" Target="https://bstock.com/superior/auction/auction/view/id/50403/" TargetMode="External"/><Relationship Id="rId40" Type="http://schemas.openxmlformats.org/officeDocument/2006/relationships/hyperlink" Target="https://bstock.com/superior/auction/auction/view/id/50396/" TargetMode="External"/><Relationship Id="rId41" Type="http://schemas.openxmlformats.org/officeDocument/2006/relationships/hyperlink" Target="https://bstock.com/superior/auction/auction/view/id/50337/" TargetMode="External"/><Relationship Id="rId42" Type="http://schemas.openxmlformats.org/officeDocument/2006/relationships/hyperlink" Target="https://bstock.com/superior/auction/auction/view/id/50331/" TargetMode="External"/><Relationship Id="rId43" Type="http://schemas.openxmlformats.org/officeDocument/2006/relationships/hyperlink" Target="https://bstock.com/superior/auction/auction/view/id/50353/" TargetMode="External"/><Relationship Id="rId44" Type="http://schemas.openxmlformats.org/officeDocument/2006/relationships/hyperlink" Target="https://bstock.com/superior/auction/auction/view/id/50395/" TargetMode="External"/><Relationship Id="rId45" Type="http://schemas.openxmlformats.org/officeDocument/2006/relationships/hyperlink" Target="https://bstock.com/superior/auction/auction/view/id/50402/" TargetMode="External"/><Relationship Id="rId46" Type="http://schemas.openxmlformats.org/officeDocument/2006/relationships/hyperlink" Target="https://bstock.com/superior/auction/auction/view/id/50335/" TargetMode="External"/><Relationship Id="rId47" Type="http://schemas.openxmlformats.org/officeDocument/2006/relationships/hyperlink" Target="https://bstock.com/superior/auction/auction/view/id/50355/" TargetMode="External"/><Relationship Id="rId48" Type="http://schemas.openxmlformats.org/officeDocument/2006/relationships/hyperlink" Target="https://bstock.com/superior/auction/auction/view/id/50401/" TargetMode="External"/><Relationship Id="rId49" Type="http://schemas.openxmlformats.org/officeDocument/2006/relationships/hyperlink" Target="https://bstock.com/superior/auction/auction/view/id/50394/" TargetMode="External"/><Relationship Id="rId50" Type="http://schemas.openxmlformats.org/officeDocument/2006/relationships/hyperlink" Target="https://bstock.com/superior/auction/auction/view/id/50332/" TargetMode="External"/><Relationship Id="rId51" Type="http://schemas.openxmlformats.org/officeDocument/2006/relationships/hyperlink" Target="https://bstock.com/superior/auction/auction/view/id/50357/" TargetMode="External"/><Relationship Id="rId52" Type="http://schemas.openxmlformats.org/officeDocument/2006/relationships/hyperlink" Target="https://bstock.com/superior/auction/auction/view/id/50393/" TargetMode="External"/><Relationship Id="rId53" Type="http://schemas.openxmlformats.org/officeDocument/2006/relationships/hyperlink" Target="https://bstock.com/superior/auction/auction/view/id/50368/" TargetMode="External"/><Relationship Id="rId54" Type="http://schemas.openxmlformats.org/officeDocument/2006/relationships/hyperlink" Target="https://bstock.com/superior/auction/auction/view/id/50344/" TargetMode="External"/><Relationship Id="rId55" Type="http://schemas.openxmlformats.org/officeDocument/2006/relationships/hyperlink" Target="https://bstock.com/superior/auction/auction/view/id/50358/" TargetMode="External"/><Relationship Id="rId56" Type="http://schemas.openxmlformats.org/officeDocument/2006/relationships/hyperlink" Target="https://bstock.com/superior/auction/auction/view/id/50387/" TargetMode="External"/><Relationship Id="rId57" Type="http://schemas.openxmlformats.org/officeDocument/2006/relationships/hyperlink" Target="https://bstock.com/superior/auction/auction/view/id/50392/" TargetMode="External"/><Relationship Id="rId58" Type="http://schemas.openxmlformats.org/officeDocument/2006/relationships/hyperlink" Target="https://bstock.com/superior/auction/auction/view/id/50346/" TargetMode="External"/><Relationship Id="rId59" Type="http://schemas.openxmlformats.org/officeDocument/2006/relationships/hyperlink" Target="https://bstock.com/superior/auction/auction/view/id/50359/" TargetMode="External"/><Relationship Id="rId60" Type="http://schemas.openxmlformats.org/officeDocument/2006/relationships/hyperlink" Target="https://bstock.com/superior/auction/auction/view/id/50350/" TargetMode="External"/><Relationship Id="rId61" Type="http://schemas.openxmlformats.org/officeDocument/2006/relationships/hyperlink" Target="https://bstock.com/superior/auction/auction/view/id/50334/" TargetMode="External"/><Relationship Id="rId62" Type="http://schemas.openxmlformats.org/officeDocument/2006/relationships/hyperlink" Target="https://bstock.com/superior/auction/auction/view/id/50356/" TargetMode="External"/><Relationship Id="rId63" Type="http://schemas.openxmlformats.org/officeDocument/2006/relationships/hyperlink" Target="https://bstock.com/superior/auction/auction/view/id/50386/" TargetMode="External"/><Relationship Id="rId64" Type="http://schemas.openxmlformats.org/officeDocument/2006/relationships/hyperlink" Target="https://bstock.com/superior/auction/auction/view/id/50391/" TargetMode="External"/><Relationship Id="rId65" Type="http://schemas.openxmlformats.org/officeDocument/2006/relationships/hyperlink" Target="https://bstock.com/superior/auction/auction/view/id/50341/" TargetMode="External"/><Relationship Id="rId66" Type="http://schemas.openxmlformats.org/officeDocument/2006/relationships/hyperlink" Target="https://bstock.com/superior/auction/auction/view/id/50352/" TargetMode="External"/><Relationship Id="rId67" Type="http://schemas.openxmlformats.org/officeDocument/2006/relationships/hyperlink" Target="https://bstock.com/superior/auction/auction/view/id/50385/" TargetMode="External"/><Relationship Id="rId68" Type="http://schemas.openxmlformats.org/officeDocument/2006/relationships/hyperlink" Target="https://bstock.com/superior/auction/auction/view/id/50383/" TargetMode="External"/><Relationship Id="rId69" Type="http://schemas.openxmlformats.org/officeDocument/2006/relationships/hyperlink" Target="https://bstock.com/superior/auction/auction/view/id/50390/" TargetMode="External"/><Relationship Id="rId70" Type="http://schemas.openxmlformats.org/officeDocument/2006/relationships/hyperlink" Target="https://bstock.com/superior/auction/auction/view/id/50338/" TargetMode="External"/><Relationship Id="rId71" Type="http://schemas.openxmlformats.org/officeDocument/2006/relationships/hyperlink" Target="https://bstock.com/superior/auction/auction/view/id/50330/" TargetMode="External"/><Relationship Id="rId72" Type="http://schemas.openxmlformats.org/officeDocument/2006/relationships/hyperlink" Target="https://bstock.com/superior/auction/auction/view/id/50388/" TargetMode="External"/><Relationship Id="rId73" Type="http://schemas.openxmlformats.org/officeDocument/2006/relationships/hyperlink" Target="https://bstock.com/superior/auction/auction/view/id/50384/" TargetMode="External"/><Relationship Id="rId74" Type="http://schemas.openxmlformats.org/officeDocument/2006/relationships/hyperlink" Target="https://bstock.com/superior/auction/auction/view/id/50342/" TargetMode="External"/><Relationship Id="rId75" Type="http://schemas.openxmlformats.org/officeDocument/2006/relationships/hyperlink" Target="https://bstock.com/superior/auction/auction/view/id/50382/" TargetMode="External"/><Relationship Id="rId76" Type="http://schemas.openxmlformats.org/officeDocument/2006/relationships/hyperlink" Target="https://bstock.com/superior/auction/auction/view/id/50336/" TargetMode="External"/><Relationship Id="rId77" Type="http://schemas.openxmlformats.org/officeDocument/2006/relationships/hyperlink" Target="https://bstock.com/superior/auction/auction/view/id/50389/" TargetMode="External"/><Relationship Id="rId78" Type="http://schemas.openxmlformats.org/officeDocument/2006/relationships/hyperlink" Target="https://bstock.com/superior/auction/auction/view/id/50333/" TargetMode="External"/><Relationship Id="rId79" Type="http://schemas.openxmlformats.org/officeDocument/2006/relationships/hyperlink" Target="https://bstock.com/superior/auction/auction/view/id/50378/" TargetMode="External"/><Relationship Id="rId80" Type="http://schemas.openxmlformats.org/officeDocument/2006/relationships/hyperlink" Target="https://bstock.com/superior/auction/auction/view/id/50381/" TargetMode="External"/><Relationship Id="rId81" Type="http://schemas.openxmlformats.org/officeDocument/2006/relationships/hyperlink" Target="https://bstock.com/superior/auction/auction/view/id/50377/" TargetMode="External"/><Relationship Id="rId82" Type="http://schemas.openxmlformats.org/officeDocument/2006/relationships/hyperlink" Target="https://bstock.com/superior/auction/auction/view/id/50376/" TargetMode="External"/><Relationship Id="rId83" Type="http://schemas.openxmlformats.org/officeDocument/2006/relationships/hyperlink" Target="https://bstock.com/superior/auction/auction/view/id/50380/" TargetMode="External"/><Relationship Id="rId84" Type="http://schemas.openxmlformats.org/officeDocument/2006/relationships/hyperlink" Target="https://bstock.com/superior/auction/auction/view/id/50372/" TargetMode="External"/><Relationship Id="rId85" Type="http://schemas.openxmlformats.org/officeDocument/2006/relationships/hyperlink" Target="https://bstock.com/superior/auction/auction/view/id/50371/" TargetMode="External"/><Relationship Id="rId86" Type="http://schemas.openxmlformats.org/officeDocument/2006/relationships/hyperlink" Target="https://bstock.com/superior/auction/auction/view/id/50340/" TargetMode="External"/><Relationship Id="rId87" Type="http://schemas.openxmlformats.org/officeDocument/2006/relationships/hyperlink" Target="https://bstock.com/superior/auction/auction/view/id/50351/" TargetMode="External"/><Relationship Id="rId88" Type="http://schemas.openxmlformats.org/officeDocument/2006/relationships/hyperlink" Target="https://bstock.com/superior/auction/auction/view/id/50365/" TargetMode="External"/><Relationship Id="rId89" Type="http://schemas.openxmlformats.org/officeDocument/2006/relationships/hyperlink" Target="https://bstock.com/superior/auction/auction/view/id/50425/" TargetMode="External"/><Relationship Id="rId90" Type="http://schemas.openxmlformats.org/officeDocument/2006/relationships/hyperlink" Target="https://bstock.com/superior/auction/auction/view/id/50362/" TargetMode="External"/><Relationship Id="rId91" Type="http://schemas.openxmlformats.org/officeDocument/2006/relationships/hyperlink" Target="https://bstock.com/superior/auction/auction/view/id/50339/" TargetMode="External"/><Relationship Id="rId92" Type="http://schemas.openxmlformats.org/officeDocument/2006/relationships/hyperlink" Target="https://bstock.com/superior/auction/auction/view/id/50366/" TargetMode="External"/><Relationship Id="rId93" Type="http://schemas.openxmlformats.org/officeDocument/2006/relationships/hyperlink" Target="https://bstock.com/superior/auction/auction/view/id/50363/" TargetMode="External"/><Relationship Id="rId94" Type="http://schemas.openxmlformats.org/officeDocument/2006/relationships/hyperlink" Target="https://bstock.com/superior/auction/auction/view/id/50367/" TargetMode="External"/><Relationship Id="rId95" Type="http://schemas.openxmlformats.org/officeDocument/2006/relationships/hyperlink" Target="https://bstock.com/superior/auction/auction/view/id/50364/" TargetMode="External"/><Relationship Id="rId96" Type="http://schemas.openxmlformats.org/officeDocument/2006/relationships/hyperlink" Target="https://bstock.com/superior/auction/auction/view/id/50361/" TargetMode="External"/><Relationship Id="rId97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27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46"/>
    <col collapsed="false" customWidth="true" hidden="false" outlineLevel="0" max="2" min="2" style="1" width="12"/>
    <col collapsed="false" customWidth="true" hidden="false" outlineLevel="0" max="3" min="3" style="1" width="70"/>
  </cols>
  <sheetData>
    <row r="1" customFormat="false" ht="17.35" hidden="false" customHeight="false" outlineLevel="0" collapsed="false">
      <c r="A1" s="2" t="s">
        <v>0</v>
      </c>
    </row>
    <row r="3" customFormat="false" ht="15" hidden="false" customHeight="false" outlineLevel="0" collapsed="false">
      <c r="A3" s="3"/>
    </row>
    <row r="4" customFormat="false" ht="15" hidden="false" customHeight="false" outlineLevel="0" collapsed="false">
      <c r="A4" s="4"/>
      <c r="B4" s="5" t="n">
        <v>0.02</v>
      </c>
      <c r="C4" s="6" t="s">
        <v>1</v>
      </c>
    </row>
    <row r="6" customFormat="false" ht="15" hidden="false" customHeight="false" outlineLevel="0" collapsed="false">
      <c r="A6" s="4"/>
    </row>
    <row r="7" customFormat="false" ht="15" hidden="false" customHeight="false" outlineLevel="0" collapsed="false">
      <c r="A7" s="7" t="s">
        <v>2</v>
      </c>
    </row>
    <row r="8" customFormat="false" ht="15" hidden="false" customHeight="false" outlineLevel="0" collapsed="false">
      <c r="A8" s="4" t="s">
        <v>3</v>
      </c>
    </row>
    <row r="9" customFormat="false" ht="15" hidden="false" customHeight="false" outlineLevel="0" collapsed="false">
      <c r="A9" s="4" t="s">
        <v>4</v>
      </c>
    </row>
    <row r="10" customFormat="false" ht="15" hidden="false" customHeight="false" outlineLevel="0" collapsed="false">
      <c r="A10" s="4" t="s">
        <v>5</v>
      </c>
    </row>
    <row r="11" customFormat="false" ht="15" hidden="false" customHeight="false" outlineLevel="0" collapsed="false">
      <c r="A11" s="4" t="s">
        <v>6</v>
      </c>
    </row>
    <row r="12" customFormat="false" ht="15" hidden="false" customHeight="false" outlineLevel="0" collapsed="false">
      <c r="A12" s="4"/>
    </row>
    <row r="13" customFormat="false" ht="15" hidden="false" customHeight="false" outlineLevel="0" collapsed="false">
      <c r="A13" s="7" t="s">
        <v>7</v>
      </c>
    </row>
    <row r="14" customFormat="false" ht="15" hidden="false" customHeight="false" outlineLevel="0" collapsed="false">
      <c r="A14" s="4" t="s">
        <v>8</v>
      </c>
    </row>
    <row r="15" customFormat="false" ht="15" hidden="false" customHeight="false" outlineLevel="0" collapsed="false">
      <c r="A15" s="4" t="s">
        <v>9</v>
      </c>
    </row>
    <row r="16" customFormat="false" ht="15" hidden="false" customHeight="false" outlineLevel="0" collapsed="false">
      <c r="A16" s="4" t="s">
        <v>10</v>
      </c>
    </row>
    <row r="17" customFormat="false" ht="15" hidden="false" customHeight="false" outlineLevel="0" collapsed="false">
      <c r="A17" s="4" t="s">
        <v>11</v>
      </c>
    </row>
    <row r="18" customFormat="false" ht="15" hidden="false" customHeight="false" outlineLevel="0" collapsed="false">
      <c r="A18" s="4" t="s">
        <v>12</v>
      </c>
    </row>
    <row r="19" customFormat="false" ht="15" hidden="false" customHeight="false" outlineLevel="0" collapsed="false">
      <c r="A19" s="4" t="s">
        <v>13</v>
      </c>
    </row>
    <row r="20" customFormat="false" ht="15" hidden="false" customHeight="false" outlineLevel="0" collapsed="false">
      <c r="A20" s="4" t="s">
        <v>14</v>
      </c>
    </row>
    <row r="21" customFormat="false" ht="15" hidden="false" customHeight="false" outlineLevel="0" collapsed="false">
      <c r="A21" s="4" t="s">
        <v>15</v>
      </c>
    </row>
    <row r="22" customFormat="false" ht="15" hidden="false" customHeight="false" outlineLevel="0" collapsed="false">
      <c r="A22" s="4" t="s">
        <v>16</v>
      </c>
    </row>
    <row r="23" customFormat="false" ht="15" hidden="false" customHeight="false" outlineLevel="0" collapsed="false">
      <c r="A23" s="4"/>
    </row>
    <row r="24" customFormat="false" ht="15" hidden="false" customHeight="false" outlineLevel="0" collapsed="false">
      <c r="A24" s="7" t="s">
        <v>17</v>
      </c>
    </row>
    <row r="25" customFormat="false" ht="15" hidden="false" customHeight="false" outlineLevel="0" collapsed="false">
      <c r="A25" s="4" t="s">
        <v>18</v>
      </c>
    </row>
    <row r="26" customFormat="false" ht="15" hidden="false" customHeight="false" outlineLevel="0" collapsed="false">
      <c r="A26" s="4" t="s">
        <v>19</v>
      </c>
    </row>
    <row r="27" customFormat="false" ht="15" hidden="false" customHeight="false" outlineLevel="0" collapsed="false">
      <c r="A27" s="4" t="s">
        <v>20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P9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11"/>
    <col collapsed="false" customWidth="true" hidden="false" outlineLevel="0" max="2" min="2" style="1" width="22"/>
    <col collapsed="false" customWidth="true" hidden="false" outlineLevel="0" max="3" min="3" style="1" width="20"/>
    <col collapsed="false" customWidth="true" hidden="false" outlineLevel="0" max="4" min="4" style="1" width="8"/>
    <col collapsed="false" customWidth="true" hidden="false" outlineLevel="0" max="5" min="5" style="1" width="9"/>
    <col collapsed="false" customWidth="true" hidden="false" outlineLevel="0" max="6" min="6" style="1" width="14"/>
    <col collapsed="false" customWidth="true" hidden="false" outlineLevel="0" max="7" min="7" style="1" width="13"/>
    <col collapsed="false" customWidth="true" hidden="false" outlineLevel="0" max="8" min="8" style="1" width="20"/>
    <col collapsed="false" customWidth="true" hidden="false" outlineLevel="0" max="9" min="9" style="1" width="15"/>
    <col collapsed="false" customWidth="true" hidden="false" outlineLevel="0" max="10" min="10" style="1" width="12"/>
    <col collapsed="false" customWidth="true" hidden="false" outlineLevel="0" max="11" min="11" style="1" width="19"/>
    <col collapsed="false" customWidth="true" hidden="false" outlineLevel="0" max="12" min="12" style="1" width="14"/>
    <col collapsed="false" customWidth="true" hidden="false" outlineLevel="0" max="13" min="13" style="1" width="7"/>
    <col collapsed="false" customWidth="true" hidden="false" outlineLevel="0" max="14" min="14" style="1" width="11"/>
    <col collapsed="false" customWidth="true" hidden="false" outlineLevel="0" max="15" min="15" style="1" width="13"/>
    <col collapsed="false" customWidth="true" hidden="false" outlineLevel="0" max="16" min="16" style="1" width="46"/>
  </cols>
  <sheetData>
    <row r="1" customFormat="false" ht="30" hidden="false" customHeight="true" outlineLevel="0" collapsed="false">
      <c r="A1" s="8" t="s">
        <v>21</v>
      </c>
      <c r="B1" s="8" t="s">
        <v>22</v>
      </c>
      <c r="C1" s="8" t="s">
        <v>23</v>
      </c>
      <c r="D1" s="8" t="s">
        <v>24</v>
      </c>
      <c r="E1" s="8" t="s">
        <v>25</v>
      </c>
      <c r="F1" s="8" t="s">
        <v>26</v>
      </c>
      <c r="G1" s="8" t="s">
        <v>27</v>
      </c>
      <c r="H1" s="8" t="s">
        <v>28</v>
      </c>
      <c r="I1" s="8" t="s">
        <v>29</v>
      </c>
      <c r="J1" s="8" t="s">
        <v>30</v>
      </c>
      <c r="K1" s="8" t="s">
        <v>31</v>
      </c>
      <c r="L1" s="8" t="s">
        <v>32</v>
      </c>
      <c r="M1" s="8" t="s">
        <v>33</v>
      </c>
      <c r="N1" s="8" t="s">
        <v>34</v>
      </c>
      <c r="O1" s="8" t="s">
        <v>35</v>
      </c>
      <c r="P1" s="8" t="s">
        <v>36</v>
      </c>
    </row>
    <row r="2" customFormat="false" ht="15" hidden="false" customHeight="false" outlineLevel="0" collapsed="false">
      <c r="A2" s="9" t="n">
        <v>50370</v>
      </c>
      <c r="B2" s="10" t="s">
        <v>37</v>
      </c>
      <c r="C2" s="10" t="s">
        <v>38</v>
      </c>
      <c r="D2" s="9" t="s">
        <v>39</v>
      </c>
      <c r="E2" s="11" t="n">
        <v>20</v>
      </c>
      <c r="F2" s="10" t="s">
        <v>40</v>
      </c>
      <c r="G2" s="9" t="s">
        <v>41</v>
      </c>
      <c r="H2" s="12" t="n">
        <v>21200</v>
      </c>
      <c r="I2" s="12" t="n">
        <v>1060</v>
      </c>
      <c r="J2" s="12" t="n">
        <f aca="false">H2*Assumptions!$B$4</f>
        <v>424</v>
      </c>
      <c r="K2" s="12" t="n">
        <f aca="false">H2+J2</f>
        <v>21624</v>
      </c>
      <c r="L2" s="12" t="n">
        <f aca="false">IF(E2=0,"",K2/E2)</f>
        <v>1081.2</v>
      </c>
      <c r="M2" s="9" t="n">
        <v>24</v>
      </c>
      <c r="N2" s="9" t="s">
        <v>42</v>
      </c>
      <c r="O2" s="10" t="s">
        <v>43</v>
      </c>
      <c r="P2" s="13" t="s">
        <v>44</v>
      </c>
    </row>
    <row r="3" customFormat="false" ht="15" hidden="false" customHeight="false" outlineLevel="0" collapsed="false">
      <c r="A3" s="14" t="n">
        <v>50424</v>
      </c>
      <c r="B3" s="15" t="s">
        <v>37</v>
      </c>
      <c r="C3" s="15" t="s">
        <v>45</v>
      </c>
      <c r="D3" s="14" t="s">
        <v>46</v>
      </c>
      <c r="E3" s="16" t="n">
        <v>20</v>
      </c>
      <c r="F3" s="15" t="s">
        <v>47</v>
      </c>
      <c r="G3" s="14" t="s">
        <v>48</v>
      </c>
      <c r="H3" s="17" t="n">
        <v>16050</v>
      </c>
      <c r="I3" s="17" t="n">
        <v>802.5</v>
      </c>
      <c r="J3" s="17" t="n">
        <f aca="false">H3*Assumptions!$B$4</f>
        <v>321</v>
      </c>
      <c r="K3" s="17" t="n">
        <f aca="false">H3+J3</f>
        <v>16371</v>
      </c>
      <c r="L3" s="17" t="n">
        <f aca="false">IF(E3=0,"",K3/E3)</f>
        <v>818.55</v>
      </c>
      <c r="M3" s="14" t="n">
        <v>4</v>
      </c>
      <c r="N3" s="14" t="s">
        <v>42</v>
      </c>
      <c r="O3" s="15" t="s">
        <v>43</v>
      </c>
      <c r="P3" s="18" t="s">
        <v>49</v>
      </c>
    </row>
    <row r="4" customFormat="false" ht="15" hidden="false" customHeight="false" outlineLevel="0" collapsed="false">
      <c r="A4" s="9" t="n">
        <v>50429</v>
      </c>
      <c r="B4" s="10" t="s">
        <v>50</v>
      </c>
      <c r="C4" s="10" t="s">
        <v>45</v>
      </c>
      <c r="D4" s="9" t="s">
        <v>51</v>
      </c>
      <c r="E4" s="11" t="n">
        <v>20</v>
      </c>
      <c r="F4" s="10" t="s">
        <v>47</v>
      </c>
      <c r="G4" s="9" t="s">
        <v>48</v>
      </c>
      <c r="H4" s="12" t="n">
        <v>13050</v>
      </c>
      <c r="I4" s="12" t="n">
        <v>652.5</v>
      </c>
      <c r="J4" s="12" t="n">
        <f aca="false">H4*Assumptions!$B$4</f>
        <v>261</v>
      </c>
      <c r="K4" s="12" t="n">
        <f aca="false">H4+J4</f>
        <v>13311</v>
      </c>
      <c r="L4" s="12" t="n">
        <f aca="false">IF(E4=0,"",K4/E4)</f>
        <v>665.55</v>
      </c>
      <c r="M4" s="9" t="n">
        <v>7</v>
      </c>
      <c r="N4" s="9" t="s">
        <v>42</v>
      </c>
      <c r="O4" s="10" t="s">
        <v>43</v>
      </c>
      <c r="P4" s="13" t="s">
        <v>52</v>
      </c>
    </row>
    <row r="5" customFormat="false" ht="15" hidden="false" customHeight="false" outlineLevel="0" collapsed="false">
      <c r="A5" s="14" t="n">
        <v>50423</v>
      </c>
      <c r="B5" s="15" t="s">
        <v>53</v>
      </c>
      <c r="C5" s="15" t="s">
        <v>38</v>
      </c>
      <c r="D5" s="14" t="s">
        <v>46</v>
      </c>
      <c r="E5" s="16" t="n">
        <v>20</v>
      </c>
      <c r="F5" s="15" t="s">
        <v>40</v>
      </c>
      <c r="G5" s="14" t="s">
        <v>48</v>
      </c>
      <c r="H5" s="17" t="n">
        <v>11050</v>
      </c>
      <c r="I5" s="17" t="n">
        <v>552.5</v>
      </c>
      <c r="J5" s="17" t="n">
        <f aca="false">H5*Assumptions!$B$4</f>
        <v>221</v>
      </c>
      <c r="K5" s="17" t="n">
        <f aca="false">H5+J5</f>
        <v>11271</v>
      </c>
      <c r="L5" s="17" t="n">
        <f aca="false">IF(E5=0,"",K5/E5)</f>
        <v>563.55</v>
      </c>
      <c r="M5" s="14" t="n">
        <v>4</v>
      </c>
      <c r="N5" s="14" t="s">
        <v>42</v>
      </c>
      <c r="O5" s="15" t="s">
        <v>43</v>
      </c>
      <c r="P5" s="18" t="s">
        <v>54</v>
      </c>
    </row>
    <row r="6" customFormat="false" ht="15" hidden="false" customHeight="false" outlineLevel="0" collapsed="false">
      <c r="A6" s="9" t="n">
        <v>50427</v>
      </c>
      <c r="B6" s="10" t="s">
        <v>53</v>
      </c>
      <c r="C6" s="10" t="s">
        <v>45</v>
      </c>
      <c r="D6" s="9" t="s">
        <v>46</v>
      </c>
      <c r="E6" s="11" t="n">
        <v>20</v>
      </c>
      <c r="F6" s="10" t="s">
        <v>55</v>
      </c>
      <c r="G6" s="9" t="s">
        <v>48</v>
      </c>
      <c r="H6" s="12" t="n">
        <v>8500</v>
      </c>
      <c r="I6" s="12" t="n">
        <v>425</v>
      </c>
      <c r="J6" s="12" t="n">
        <f aca="false">H6*Assumptions!$B$4</f>
        <v>170</v>
      </c>
      <c r="K6" s="12" t="n">
        <f aca="false">H6+J6</f>
        <v>8670</v>
      </c>
      <c r="L6" s="12" t="n">
        <f aca="false">IF(E6=0,"",K6/E6)</f>
        <v>433.5</v>
      </c>
      <c r="M6" s="9" t="n">
        <v>0</v>
      </c>
      <c r="N6" s="9" t="s">
        <v>42</v>
      </c>
      <c r="O6" s="10" t="s">
        <v>43</v>
      </c>
      <c r="P6" s="13" t="s">
        <v>56</v>
      </c>
    </row>
    <row r="7" customFormat="false" ht="15" hidden="false" customHeight="false" outlineLevel="0" collapsed="false">
      <c r="A7" s="14" t="n">
        <v>50422</v>
      </c>
      <c r="B7" s="15" t="s">
        <v>53</v>
      </c>
      <c r="C7" s="15" t="s">
        <v>45</v>
      </c>
      <c r="D7" s="14" t="s">
        <v>51</v>
      </c>
      <c r="E7" s="16" t="n">
        <v>20</v>
      </c>
      <c r="F7" s="15" t="s">
        <v>55</v>
      </c>
      <c r="G7" s="14" t="s">
        <v>48</v>
      </c>
      <c r="H7" s="17" t="n">
        <v>8000</v>
      </c>
      <c r="I7" s="17" t="n">
        <v>400</v>
      </c>
      <c r="J7" s="17" t="n">
        <f aca="false">H7*Assumptions!$B$4</f>
        <v>160</v>
      </c>
      <c r="K7" s="17" t="n">
        <f aca="false">H7+J7</f>
        <v>8160</v>
      </c>
      <c r="L7" s="17" t="n">
        <f aca="false">IF(E7=0,"",K7/E7)</f>
        <v>408</v>
      </c>
      <c r="M7" s="14" t="n">
        <v>1</v>
      </c>
      <c r="N7" s="14" t="s">
        <v>42</v>
      </c>
      <c r="O7" s="15" t="s">
        <v>43</v>
      </c>
      <c r="P7" s="18" t="s">
        <v>57</v>
      </c>
    </row>
    <row r="8" customFormat="false" ht="15" hidden="false" customHeight="false" outlineLevel="0" collapsed="false">
      <c r="A8" s="9" t="n">
        <v>50428</v>
      </c>
      <c r="B8" s="10" t="s">
        <v>53</v>
      </c>
      <c r="C8" s="10" t="s">
        <v>45</v>
      </c>
      <c r="D8" s="9" t="s">
        <v>58</v>
      </c>
      <c r="E8" s="11" t="n">
        <v>20</v>
      </c>
      <c r="F8" s="10" t="s">
        <v>55</v>
      </c>
      <c r="G8" s="9" t="s">
        <v>48</v>
      </c>
      <c r="H8" s="12" t="n">
        <v>7800</v>
      </c>
      <c r="I8" s="12" t="n">
        <v>390</v>
      </c>
      <c r="J8" s="12" t="n">
        <f aca="false">H8*Assumptions!$B$4</f>
        <v>156</v>
      </c>
      <c r="K8" s="12" t="n">
        <f aca="false">H8+J8</f>
        <v>7956</v>
      </c>
      <c r="L8" s="12" t="n">
        <f aca="false">IF(E8=0,"",K8/E8)</f>
        <v>397.8</v>
      </c>
      <c r="M8" s="9" t="n">
        <v>0</v>
      </c>
      <c r="N8" s="9" t="s">
        <v>42</v>
      </c>
      <c r="O8" s="10" t="s">
        <v>43</v>
      </c>
      <c r="P8" s="13" t="s">
        <v>59</v>
      </c>
    </row>
    <row r="9" customFormat="false" ht="15" hidden="false" customHeight="false" outlineLevel="0" collapsed="false">
      <c r="A9" s="14" t="n">
        <v>50412</v>
      </c>
      <c r="B9" s="15" t="s">
        <v>60</v>
      </c>
      <c r="C9" s="15" t="s">
        <v>61</v>
      </c>
      <c r="D9" s="14" t="s">
        <v>58</v>
      </c>
      <c r="E9" s="16" t="n">
        <v>20</v>
      </c>
      <c r="F9" s="15" t="s">
        <v>55</v>
      </c>
      <c r="G9" s="14" t="s">
        <v>48</v>
      </c>
      <c r="H9" s="17" t="n">
        <v>12000</v>
      </c>
      <c r="I9" s="17" t="n">
        <v>600</v>
      </c>
      <c r="J9" s="17" t="n">
        <f aca="false">H9*Assumptions!$B$4</f>
        <v>240</v>
      </c>
      <c r="K9" s="17" t="n">
        <f aca="false">H9+J9</f>
        <v>12240</v>
      </c>
      <c r="L9" s="17" t="n">
        <f aca="false">IF(E9=0,"",K9/E9)</f>
        <v>612</v>
      </c>
      <c r="M9" s="14" t="n">
        <v>2</v>
      </c>
      <c r="N9" s="14" t="s">
        <v>42</v>
      </c>
      <c r="O9" s="15" t="s">
        <v>43</v>
      </c>
      <c r="P9" s="18" t="s">
        <v>62</v>
      </c>
    </row>
    <row r="10" customFormat="false" ht="15" hidden="false" customHeight="false" outlineLevel="0" collapsed="false">
      <c r="A10" s="9" t="n">
        <v>50416</v>
      </c>
      <c r="B10" s="10" t="s">
        <v>60</v>
      </c>
      <c r="C10" s="10" t="s">
        <v>38</v>
      </c>
      <c r="D10" s="9" t="s">
        <v>46</v>
      </c>
      <c r="E10" s="11" t="n">
        <v>20</v>
      </c>
      <c r="F10" s="10" t="s">
        <v>55</v>
      </c>
      <c r="G10" s="9" t="s">
        <v>48</v>
      </c>
      <c r="H10" s="12" t="n">
        <v>12000</v>
      </c>
      <c r="I10" s="12" t="n">
        <v>600</v>
      </c>
      <c r="J10" s="12" t="n">
        <f aca="false">H10*Assumptions!$B$4</f>
        <v>240</v>
      </c>
      <c r="K10" s="12" t="n">
        <f aca="false">H10+J10</f>
        <v>12240</v>
      </c>
      <c r="L10" s="12" t="n">
        <f aca="false">IF(E10=0,"",K10/E10)</f>
        <v>612</v>
      </c>
      <c r="M10" s="9" t="n">
        <v>5</v>
      </c>
      <c r="N10" s="9" t="s">
        <v>42</v>
      </c>
      <c r="O10" s="10" t="s">
        <v>43</v>
      </c>
      <c r="P10" s="13" t="s">
        <v>63</v>
      </c>
    </row>
    <row r="11" customFormat="false" ht="15" hidden="false" customHeight="false" outlineLevel="0" collapsed="false">
      <c r="A11" s="14" t="n">
        <v>50411</v>
      </c>
      <c r="B11" s="15" t="s">
        <v>60</v>
      </c>
      <c r="C11" s="15" t="s">
        <v>45</v>
      </c>
      <c r="D11" s="14" t="s">
        <v>46</v>
      </c>
      <c r="E11" s="16" t="n">
        <v>20</v>
      </c>
      <c r="F11" s="15" t="s">
        <v>47</v>
      </c>
      <c r="G11" s="14" t="s">
        <v>48</v>
      </c>
      <c r="H11" s="17" t="n">
        <v>11150</v>
      </c>
      <c r="I11" s="17" t="n">
        <v>557.5</v>
      </c>
      <c r="J11" s="17" t="n">
        <f aca="false">H11*Assumptions!$B$4</f>
        <v>223</v>
      </c>
      <c r="K11" s="17" t="n">
        <f aca="false">H11+J11</f>
        <v>11373</v>
      </c>
      <c r="L11" s="17" t="n">
        <f aca="false">IF(E11=0,"",K11/E11)</f>
        <v>568.65</v>
      </c>
      <c r="M11" s="14" t="n">
        <v>8</v>
      </c>
      <c r="N11" s="14" t="s">
        <v>42</v>
      </c>
      <c r="O11" s="15" t="s">
        <v>43</v>
      </c>
      <c r="P11" s="18" t="s">
        <v>64</v>
      </c>
    </row>
    <row r="12" customFormat="false" ht="15" hidden="false" customHeight="false" outlineLevel="0" collapsed="false">
      <c r="A12" s="9" t="n">
        <v>50417</v>
      </c>
      <c r="B12" s="10" t="s">
        <v>60</v>
      </c>
      <c r="C12" s="10" t="s">
        <v>45</v>
      </c>
      <c r="D12" s="9" t="s">
        <v>51</v>
      </c>
      <c r="E12" s="11" t="n">
        <v>20</v>
      </c>
      <c r="F12" s="10" t="s">
        <v>47</v>
      </c>
      <c r="G12" s="9" t="s">
        <v>48</v>
      </c>
      <c r="H12" s="12" t="n">
        <v>10200</v>
      </c>
      <c r="I12" s="12" t="n">
        <v>510</v>
      </c>
      <c r="J12" s="12" t="n">
        <f aca="false">H12*Assumptions!$B$4</f>
        <v>204</v>
      </c>
      <c r="K12" s="12" t="n">
        <f aca="false">H12+J12</f>
        <v>10404</v>
      </c>
      <c r="L12" s="12" t="n">
        <f aca="false">IF(E12=0,"",K12/E12)</f>
        <v>520.2</v>
      </c>
      <c r="M12" s="9" t="n">
        <v>2</v>
      </c>
      <c r="N12" s="9" t="s">
        <v>42</v>
      </c>
      <c r="O12" s="10" t="s">
        <v>43</v>
      </c>
      <c r="P12" s="13" t="s">
        <v>65</v>
      </c>
    </row>
    <row r="13" customFormat="false" ht="15" hidden="false" customHeight="false" outlineLevel="0" collapsed="false">
      <c r="A13" s="14" t="n">
        <v>50410</v>
      </c>
      <c r="B13" s="15" t="s">
        <v>66</v>
      </c>
      <c r="C13" s="15" t="s">
        <v>38</v>
      </c>
      <c r="D13" s="14" t="s">
        <v>51</v>
      </c>
      <c r="E13" s="16" t="n">
        <v>20</v>
      </c>
      <c r="F13" s="15" t="s">
        <v>40</v>
      </c>
      <c r="G13" s="14" t="s">
        <v>48</v>
      </c>
      <c r="H13" s="17" t="n">
        <v>8938</v>
      </c>
      <c r="I13" s="17" t="n">
        <v>446.9</v>
      </c>
      <c r="J13" s="17" t="n">
        <f aca="false">H13*Assumptions!$B$4</f>
        <v>178.76</v>
      </c>
      <c r="K13" s="17" t="n">
        <f aca="false">H13+J13</f>
        <v>9116.76</v>
      </c>
      <c r="L13" s="17" t="n">
        <f aca="false">IF(E13=0,"",K13/E13)</f>
        <v>455.838</v>
      </c>
      <c r="M13" s="14" t="n">
        <v>3</v>
      </c>
      <c r="N13" s="14" t="s">
        <v>67</v>
      </c>
      <c r="O13" s="15" t="s">
        <v>43</v>
      </c>
      <c r="P13" s="18" t="s">
        <v>68</v>
      </c>
    </row>
    <row r="14" customFormat="false" ht="15" hidden="false" customHeight="false" outlineLevel="0" collapsed="false">
      <c r="A14" s="9" t="n">
        <v>50415</v>
      </c>
      <c r="B14" s="10" t="s">
        <v>69</v>
      </c>
      <c r="C14" s="10" t="s">
        <v>45</v>
      </c>
      <c r="D14" s="9" t="s">
        <v>51</v>
      </c>
      <c r="E14" s="11" t="n">
        <v>20</v>
      </c>
      <c r="F14" s="10" t="s">
        <v>40</v>
      </c>
      <c r="G14" s="9" t="s">
        <v>48</v>
      </c>
      <c r="H14" s="12" t="n">
        <v>7425</v>
      </c>
      <c r="I14" s="12" t="n">
        <v>371.25</v>
      </c>
      <c r="J14" s="12" t="n">
        <f aca="false">H14*Assumptions!$B$4</f>
        <v>148.5</v>
      </c>
      <c r="K14" s="12" t="n">
        <f aca="false">H14+J14</f>
        <v>7573.5</v>
      </c>
      <c r="L14" s="12" t="n">
        <f aca="false">IF(E14=0,"",K14/E14)</f>
        <v>378.675</v>
      </c>
      <c r="M14" s="9" t="n">
        <v>18</v>
      </c>
      <c r="N14" s="9" t="s">
        <v>67</v>
      </c>
      <c r="O14" s="10" t="s">
        <v>43</v>
      </c>
      <c r="P14" s="13" t="s">
        <v>70</v>
      </c>
    </row>
    <row r="15" customFormat="false" ht="15" hidden="false" customHeight="false" outlineLevel="0" collapsed="false">
      <c r="A15" s="14" t="n">
        <v>50420</v>
      </c>
      <c r="B15" s="15" t="s">
        <v>69</v>
      </c>
      <c r="C15" s="15" t="s">
        <v>45</v>
      </c>
      <c r="D15" s="14" t="s">
        <v>51</v>
      </c>
      <c r="E15" s="16" t="n">
        <v>20</v>
      </c>
      <c r="F15" s="15" t="s">
        <v>55</v>
      </c>
      <c r="G15" s="14" t="s">
        <v>48</v>
      </c>
      <c r="H15" s="17" t="n">
        <v>6150</v>
      </c>
      <c r="I15" s="17" t="n">
        <v>307.5</v>
      </c>
      <c r="J15" s="17" t="n">
        <f aca="false">H15*Assumptions!$B$4</f>
        <v>123</v>
      </c>
      <c r="K15" s="17" t="n">
        <f aca="false">H15+J15</f>
        <v>6273</v>
      </c>
      <c r="L15" s="17" t="n">
        <f aca="false">IF(E15=0,"",K15/E15)</f>
        <v>313.65</v>
      </c>
      <c r="M15" s="14" t="n">
        <v>2</v>
      </c>
      <c r="N15" s="14" t="s">
        <v>67</v>
      </c>
      <c r="O15" s="15" t="s">
        <v>43</v>
      </c>
      <c r="P15" s="18" t="s">
        <v>71</v>
      </c>
    </row>
    <row r="16" customFormat="false" ht="15" hidden="false" customHeight="false" outlineLevel="0" collapsed="false">
      <c r="A16" s="9" t="n">
        <v>50414</v>
      </c>
      <c r="B16" s="10" t="s">
        <v>69</v>
      </c>
      <c r="C16" s="10" t="s">
        <v>72</v>
      </c>
      <c r="D16" s="9" t="s">
        <v>46</v>
      </c>
      <c r="E16" s="11" t="n">
        <v>20</v>
      </c>
      <c r="F16" s="10" t="s">
        <v>55</v>
      </c>
      <c r="G16" s="9" t="s">
        <v>48</v>
      </c>
      <c r="H16" s="12" t="n">
        <v>8050</v>
      </c>
      <c r="I16" s="12" t="n">
        <v>402.5</v>
      </c>
      <c r="J16" s="12" t="n">
        <f aca="false">H16*Assumptions!$B$4</f>
        <v>161</v>
      </c>
      <c r="K16" s="12" t="n">
        <f aca="false">H16+J16</f>
        <v>8211</v>
      </c>
      <c r="L16" s="12" t="n">
        <f aca="false">IF(E16=0,"",K16/E16)</f>
        <v>410.55</v>
      </c>
      <c r="M16" s="9" t="n">
        <v>10</v>
      </c>
      <c r="N16" s="9" t="s">
        <v>67</v>
      </c>
      <c r="O16" s="10" t="s">
        <v>43</v>
      </c>
      <c r="P16" s="13" t="s">
        <v>73</v>
      </c>
    </row>
    <row r="17" customFormat="false" ht="15" hidden="false" customHeight="false" outlineLevel="0" collapsed="false">
      <c r="A17" s="14" t="n">
        <v>50409</v>
      </c>
      <c r="B17" s="15" t="s">
        <v>69</v>
      </c>
      <c r="C17" s="15" t="s">
        <v>72</v>
      </c>
      <c r="D17" s="14" t="s">
        <v>58</v>
      </c>
      <c r="E17" s="16" t="n">
        <v>20</v>
      </c>
      <c r="F17" s="15" t="s">
        <v>47</v>
      </c>
      <c r="G17" s="14" t="s">
        <v>48</v>
      </c>
      <c r="H17" s="17" t="n">
        <v>5525</v>
      </c>
      <c r="I17" s="17" t="n">
        <v>276.25</v>
      </c>
      <c r="J17" s="17" t="n">
        <f aca="false">H17*Assumptions!$B$4</f>
        <v>110.5</v>
      </c>
      <c r="K17" s="17" t="n">
        <f aca="false">H17+J17</f>
        <v>5635.5</v>
      </c>
      <c r="L17" s="17" t="n">
        <f aca="false">IF(E17=0,"",K17/E17)</f>
        <v>281.775</v>
      </c>
      <c r="M17" s="14" t="n">
        <v>2</v>
      </c>
      <c r="N17" s="14" t="s">
        <v>67</v>
      </c>
      <c r="O17" s="15" t="s">
        <v>43</v>
      </c>
      <c r="P17" s="18" t="s">
        <v>74</v>
      </c>
    </row>
    <row r="18" customFormat="false" ht="15" hidden="false" customHeight="false" outlineLevel="0" collapsed="false">
      <c r="A18" s="9" t="n">
        <v>50419</v>
      </c>
      <c r="B18" s="10" t="s">
        <v>75</v>
      </c>
      <c r="C18" s="10" t="s">
        <v>45</v>
      </c>
      <c r="D18" s="9" t="s">
        <v>51</v>
      </c>
      <c r="E18" s="11" t="n">
        <v>20</v>
      </c>
      <c r="F18" s="10" t="s">
        <v>40</v>
      </c>
      <c r="G18" s="9" t="s">
        <v>48</v>
      </c>
      <c r="H18" s="12" t="n">
        <v>5725</v>
      </c>
      <c r="I18" s="12" t="n">
        <v>286.25</v>
      </c>
      <c r="J18" s="12" t="n">
        <f aca="false">H18*Assumptions!$B$4</f>
        <v>114.5</v>
      </c>
      <c r="K18" s="12" t="n">
        <f aca="false">H18+J18</f>
        <v>5839.5</v>
      </c>
      <c r="L18" s="12" t="n">
        <f aca="false">IF(E18=0,"",K18/E18)</f>
        <v>291.975</v>
      </c>
      <c r="M18" s="9" t="n">
        <v>6</v>
      </c>
      <c r="N18" s="9" t="s">
        <v>67</v>
      </c>
      <c r="O18" s="10" t="s">
        <v>43</v>
      </c>
      <c r="P18" s="13" t="s">
        <v>76</v>
      </c>
    </row>
    <row r="19" customFormat="false" ht="15" hidden="false" customHeight="false" outlineLevel="0" collapsed="false">
      <c r="A19" s="14" t="n">
        <v>50348</v>
      </c>
      <c r="B19" s="15" t="s">
        <v>75</v>
      </c>
      <c r="C19" s="15" t="s">
        <v>72</v>
      </c>
      <c r="D19" s="14" t="s">
        <v>58</v>
      </c>
      <c r="E19" s="16" t="n">
        <v>246</v>
      </c>
      <c r="F19" s="15" t="s">
        <v>40</v>
      </c>
      <c r="G19" s="14" t="s">
        <v>48</v>
      </c>
      <c r="H19" s="17" t="n">
        <v>63960</v>
      </c>
      <c r="I19" s="17" t="n">
        <v>260</v>
      </c>
      <c r="J19" s="17" t="n">
        <f aca="false">H19*Assumptions!$B$4</f>
        <v>1279.2</v>
      </c>
      <c r="K19" s="17" t="n">
        <f aca="false">H19+J19</f>
        <v>65239.2</v>
      </c>
      <c r="L19" s="17" t="n">
        <f aca="false">IF(E19=0,"",K19/E19)</f>
        <v>265.2</v>
      </c>
      <c r="M19" s="14" t="n">
        <v>1</v>
      </c>
      <c r="N19" s="14" t="s">
        <v>67</v>
      </c>
      <c r="O19" s="15" t="s">
        <v>43</v>
      </c>
      <c r="P19" s="18" t="s">
        <v>77</v>
      </c>
    </row>
    <row r="20" customFormat="false" ht="15" hidden="false" customHeight="false" outlineLevel="0" collapsed="false">
      <c r="A20" s="9" t="n">
        <v>50426</v>
      </c>
      <c r="B20" s="10" t="s">
        <v>78</v>
      </c>
      <c r="C20" s="10" t="s">
        <v>45</v>
      </c>
      <c r="D20" s="9" t="s">
        <v>51</v>
      </c>
      <c r="E20" s="11" t="n">
        <v>20</v>
      </c>
      <c r="F20" s="10" t="s">
        <v>40</v>
      </c>
      <c r="G20" s="9" t="s">
        <v>48</v>
      </c>
      <c r="H20" s="12" t="n">
        <v>5277</v>
      </c>
      <c r="I20" s="12" t="n">
        <v>263.85</v>
      </c>
      <c r="J20" s="12" t="n">
        <f aca="false">H20*Assumptions!$B$4</f>
        <v>105.54</v>
      </c>
      <c r="K20" s="12" t="n">
        <f aca="false">H20+J20</f>
        <v>5382.54</v>
      </c>
      <c r="L20" s="12" t="n">
        <f aca="false">IF(E20=0,"",K20/E20)</f>
        <v>269.127</v>
      </c>
      <c r="M20" s="9" t="n">
        <v>7</v>
      </c>
      <c r="N20" s="9" t="s">
        <v>67</v>
      </c>
      <c r="O20" s="10" t="s">
        <v>43</v>
      </c>
      <c r="P20" s="13" t="s">
        <v>79</v>
      </c>
    </row>
    <row r="21" customFormat="false" ht="15" hidden="false" customHeight="false" outlineLevel="0" collapsed="false">
      <c r="A21" s="14" t="n">
        <v>50421</v>
      </c>
      <c r="B21" s="15" t="s">
        <v>78</v>
      </c>
      <c r="C21" s="15" t="s">
        <v>45</v>
      </c>
      <c r="D21" s="14" t="s">
        <v>58</v>
      </c>
      <c r="E21" s="16" t="n">
        <v>20</v>
      </c>
      <c r="F21" s="15" t="s">
        <v>40</v>
      </c>
      <c r="G21" s="14" t="s">
        <v>48</v>
      </c>
      <c r="H21" s="17" t="n">
        <v>3804</v>
      </c>
      <c r="I21" s="17" t="n">
        <v>190.2</v>
      </c>
      <c r="J21" s="17" t="n">
        <f aca="false">H21*Assumptions!$B$4</f>
        <v>76.08</v>
      </c>
      <c r="K21" s="17" t="n">
        <f aca="false">H21+J21</f>
        <v>3880.08</v>
      </c>
      <c r="L21" s="17" t="n">
        <f aca="false">IF(E21=0,"",K21/E21)</f>
        <v>194.004</v>
      </c>
      <c r="M21" s="14" t="n">
        <v>5</v>
      </c>
      <c r="N21" s="14" t="s">
        <v>67</v>
      </c>
      <c r="O21" s="15" t="s">
        <v>43</v>
      </c>
      <c r="P21" s="18" t="s">
        <v>80</v>
      </c>
    </row>
    <row r="22" customFormat="false" ht="15" hidden="false" customHeight="false" outlineLevel="0" collapsed="false">
      <c r="A22" s="9" t="n">
        <v>50369</v>
      </c>
      <c r="B22" s="10" t="s">
        <v>78</v>
      </c>
      <c r="C22" s="10" t="s">
        <v>72</v>
      </c>
      <c r="D22" s="9" t="s">
        <v>39</v>
      </c>
      <c r="E22" s="11" t="n">
        <v>20</v>
      </c>
      <c r="F22" s="10" t="s">
        <v>40</v>
      </c>
      <c r="G22" s="9" t="s">
        <v>41</v>
      </c>
      <c r="H22" s="12" t="n">
        <v>6075</v>
      </c>
      <c r="I22" s="12" t="n">
        <v>303.75</v>
      </c>
      <c r="J22" s="12" t="n">
        <f aca="false">H22*Assumptions!$B$4</f>
        <v>121.5</v>
      </c>
      <c r="K22" s="12" t="n">
        <f aca="false">H22+J22</f>
        <v>6196.5</v>
      </c>
      <c r="L22" s="12" t="n">
        <f aca="false">IF(E22=0,"",K22/E22)</f>
        <v>309.825</v>
      </c>
      <c r="M22" s="9" t="n">
        <v>3</v>
      </c>
      <c r="N22" s="9" t="s">
        <v>67</v>
      </c>
      <c r="O22" s="10" t="s">
        <v>43</v>
      </c>
      <c r="P22" s="13" t="s">
        <v>81</v>
      </c>
    </row>
    <row r="23" customFormat="false" ht="15" hidden="false" customHeight="false" outlineLevel="0" collapsed="false">
      <c r="A23" s="14" t="n">
        <v>50408</v>
      </c>
      <c r="B23" s="15" t="s">
        <v>82</v>
      </c>
      <c r="C23" s="15" t="s">
        <v>38</v>
      </c>
      <c r="D23" s="14" t="s">
        <v>51</v>
      </c>
      <c r="E23" s="16" t="n">
        <v>20</v>
      </c>
      <c r="F23" s="15" t="s">
        <v>40</v>
      </c>
      <c r="G23" s="14" t="s">
        <v>48</v>
      </c>
      <c r="H23" s="17" t="n">
        <v>10170</v>
      </c>
      <c r="I23" s="17" t="n">
        <v>508.5</v>
      </c>
      <c r="J23" s="17" t="n">
        <f aca="false">H23*Assumptions!$B$4</f>
        <v>203.4</v>
      </c>
      <c r="K23" s="17" t="n">
        <f aca="false">H23+J23</f>
        <v>10373.4</v>
      </c>
      <c r="L23" s="17" t="n">
        <f aca="false">IF(E23=0,"",K23/E23)</f>
        <v>518.67</v>
      </c>
      <c r="M23" s="14" t="n">
        <v>12</v>
      </c>
      <c r="N23" s="14" t="s">
        <v>67</v>
      </c>
      <c r="O23" s="15" t="s">
        <v>43</v>
      </c>
      <c r="P23" s="18" t="s">
        <v>83</v>
      </c>
    </row>
    <row r="24" customFormat="false" ht="15" hidden="false" customHeight="false" outlineLevel="0" collapsed="false">
      <c r="A24" s="9" t="n">
        <v>50407</v>
      </c>
      <c r="B24" s="10" t="s">
        <v>82</v>
      </c>
      <c r="C24" s="10" t="s">
        <v>38</v>
      </c>
      <c r="D24" s="9" t="s">
        <v>58</v>
      </c>
      <c r="E24" s="11" t="n">
        <v>20</v>
      </c>
      <c r="F24" s="10" t="s">
        <v>55</v>
      </c>
      <c r="G24" s="9" t="s">
        <v>48</v>
      </c>
      <c r="H24" s="12" t="n">
        <v>6800</v>
      </c>
      <c r="I24" s="12" t="n">
        <v>340</v>
      </c>
      <c r="J24" s="12" t="n">
        <f aca="false">H24*Assumptions!$B$4</f>
        <v>136</v>
      </c>
      <c r="K24" s="12" t="n">
        <f aca="false">H24+J24</f>
        <v>6936</v>
      </c>
      <c r="L24" s="12" t="n">
        <f aca="false">IF(E24=0,"",K24/E24)</f>
        <v>346.8</v>
      </c>
      <c r="M24" s="9" t="n">
        <v>1</v>
      </c>
      <c r="N24" s="9" t="s">
        <v>67</v>
      </c>
      <c r="O24" s="10" t="s">
        <v>43</v>
      </c>
      <c r="P24" s="13" t="s">
        <v>84</v>
      </c>
    </row>
    <row r="25" customFormat="false" ht="15" hidden="false" customHeight="false" outlineLevel="0" collapsed="false">
      <c r="A25" s="14" t="n">
        <v>50406</v>
      </c>
      <c r="B25" s="15" t="s">
        <v>82</v>
      </c>
      <c r="C25" s="15" t="s">
        <v>45</v>
      </c>
      <c r="D25" s="14" t="s">
        <v>46</v>
      </c>
      <c r="E25" s="16" t="n">
        <v>20</v>
      </c>
      <c r="F25" s="15" t="s">
        <v>47</v>
      </c>
      <c r="G25" s="14" t="s">
        <v>48</v>
      </c>
      <c r="H25" s="17" t="n">
        <v>7200</v>
      </c>
      <c r="I25" s="17" t="n">
        <v>360</v>
      </c>
      <c r="J25" s="17" t="n">
        <f aca="false">H25*Assumptions!$B$4</f>
        <v>144</v>
      </c>
      <c r="K25" s="17" t="n">
        <f aca="false">H25+J25</f>
        <v>7344</v>
      </c>
      <c r="L25" s="17" t="n">
        <f aca="false">IF(E25=0,"",K25/E25)</f>
        <v>367.2</v>
      </c>
      <c r="M25" s="14" t="n">
        <v>1</v>
      </c>
      <c r="N25" s="14" t="s">
        <v>67</v>
      </c>
      <c r="O25" s="15" t="s">
        <v>43</v>
      </c>
      <c r="P25" s="18" t="s">
        <v>85</v>
      </c>
    </row>
    <row r="26" customFormat="false" ht="15" hidden="false" customHeight="false" outlineLevel="0" collapsed="false">
      <c r="A26" s="9" t="n">
        <v>50400</v>
      </c>
      <c r="B26" s="10" t="s">
        <v>82</v>
      </c>
      <c r="C26" s="10" t="s">
        <v>45</v>
      </c>
      <c r="D26" s="9" t="s">
        <v>51</v>
      </c>
      <c r="E26" s="11" t="n">
        <v>20</v>
      </c>
      <c r="F26" s="10" t="s">
        <v>47</v>
      </c>
      <c r="G26" s="9" t="s">
        <v>48</v>
      </c>
      <c r="H26" s="12" t="n">
        <v>8550</v>
      </c>
      <c r="I26" s="12" t="n">
        <v>427.5</v>
      </c>
      <c r="J26" s="12" t="n">
        <f aca="false">H26*Assumptions!$B$4</f>
        <v>171</v>
      </c>
      <c r="K26" s="12" t="n">
        <f aca="false">H26+J26</f>
        <v>8721</v>
      </c>
      <c r="L26" s="12" t="n">
        <f aca="false">IF(E26=0,"",K26/E26)</f>
        <v>436.05</v>
      </c>
      <c r="M26" s="9" t="n">
        <v>8</v>
      </c>
      <c r="N26" s="9" t="s">
        <v>67</v>
      </c>
      <c r="O26" s="10" t="s">
        <v>43</v>
      </c>
      <c r="P26" s="13" t="s">
        <v>86</v>
      </c>
    </row>
    <row r="27" customFormat="false" ht="15" hidden="false" customHeight="false" outlineLevel="0" collapsed="false">
      <c r="A27" s="14" t="n">
        <v>50343</v>
      </c>
      <c r="B27" s="15" t="s">
        <v>82</v>
      </c>
      <c r="C27" s="15" t="s">
        <v>45</v>
      </c>
      <c r="D27" s="14" t="s">
        <v>58</v>
      </c>
      <c r="E27" s="16" t="n">
        <v>250</v>
      </c>
      <c r="F27" s="15" t="s">
        <v>40</v>
      </c>
      <c r="G27" s="14" t="s">
        <v>48</v>
      </c>
      <c r="H27" s="17" t="n">
        <v>85000</v>
      </c>
      <c r="I27" s="17" t="n">
        <v>340</v>
      </c>
      <c r="J27" s="17" t="n">
        <f aca="false">H27*Assumptions!$B$4</f>
        <v>1700</v>
      </c>
      <c r="K27" s="17" t="n">
        <f aca="false">H27+J27</f>
        <v>86700</v>
      </c>
      <c r="L27" s="17" t="n">
        <f aca="false">IF(E27=0,"",K27/E27)</f>
        <v>346.8</v>
      </c>
      <c r="M27" s="14" t="n">
        <v>0</v>
      </c>
      <c r="N27" s="14" t="s">
        <v>67</v>
      </c>
      <c r="O27" s="15" t="s">
        <v>43</v>
      </c>
      <c r="P27" s="18" t="s">
        <v>87</v>
      </c>
    </row>
    <row r="28" customFormat="false" ht="15" hidden="false" customHeight="false" outlineLevel="0" collapsed="false">
      <c r="A28" s="9" t="n">
        <v>50347</v>
      </c>
      <c r="B28" s="10" t="s">
        <v>82</v>
      </c>
      <c r="C28" s="10" t="s">
        <v>45</v>
      </c>
      <c r="D28" s="9" t="s">
        <v>58</v>
      </c>
      <c r="E28" s="11" t="n">
        <v>180</v>
      </c>
      <c r="F28" s="10" t="s">
        <v>40</v>
      </c>
      <c r="G28" s="9" t="s">
        <v>48</v>
      </c>
      <c r="H28" s="12" t="n">
        <v>61200</v>
      </c>
      <c r="I28" s="12" t="n">
        <v>340</v>
      </c>
      <c r="J28" s="12" t="n">
        <f aca="false">H28*Assumptions!$B$4</f>
        <v>1224</v>
      </c>
      <c r="K28" s="12" t="n">
        <f aca="false">H28+J28</f>
        <v>62424</v>
      </c>
      <c r="L28" s="12" t="n">
        <f aca="false">IF(E28=0,"",K28/E28)</f>
        <v>346.8</v>
      </c>
      <c r="M28" s="9" t="n">
        <v>0</v>
      </c>
      <c r="N28" s="9" t="s">
        <v>67</v>
      </c>
      <c r="O28" s="10" t="s">
        <v>43</v>
      </c>
      <c r="P28" s="13" t="s">
        <v>88</v>
      </c>
    </row>
    <row r="29" customFormat="false" ht="15" hidden="false" customHeight="false" outlineLevel="0" collapsed="false">
      <c r="A29" s="14" t="n">
        <v>50413</v>
      </c>
      <c r="B29" s="15" t="s">
        <v>89</v>
      </c>
      <c r="C29" s="15" t="s">
        <v>61</v>
      </c>
      <c r="D29" s="14" t="s">
        <v>58</v>
      </c>
      <c r="E29" s="16" t="n">
        <v>20</v>
      </c>
      <c r="F29" s="15" t="s">
        <v>40</v>
      </c>
      <c r="G29" s="14" t="s">
        <v>48</v>
      </c>
      <c r="H29" s="17" t="n">
        <v>5000</v>
      </c>
      <c r="I29" s="17" t="n">
        <v>250</v>
      </c>
      <c r="J29" s="17" t="n">
        <f aca="false">H29*Assumptions!$B$4</f>
        <v>100</v>
      </c>
      <c r="K29" s="17" t="n">
        <f aca="false">H29+J29</f>
        <v>5100</v>
      </c>
      <c r="L29" s="17" t="n">
        <f aca="false">IF(E29=0,"",K29/E29)</f>
        <v>255</v>
      </c>
      <c r="M29" s="14" t="n">
        <v>1</v>
      </c>
      <c r="N29" s="14" t="s">
        <v>67</v>
      </c>
      <c r="O29" s="15" t="s">
        <v>43</v>
      </c>
      <c r="P29" s="18" t="s">
        <v>90</v>
      </c>
    </row>
    <row r="30" customFormat="false" ht="15" hidden="false" customHeight="false" outlineLevel="0" collapsed="false">
      <c r="A30" s="9" t="n">
        <v>50399</v>
      </c>
      <c r="B30" s="10" t="s">
        <v>89</v>
      </c>
      <c r="C30" s="10" t="s">
        <v>45</v>
      </c>
      <c r="D30" s="9" t="s">
        <v>46</v>
      </c>
      <c r="E30" s="11" t="n">
        <v>20</v>
      </c>
      <c r="F30" s="10" t="s">
        <v>55</v>
      </c>
      <c r="G30" s="9" t="s">
        <v>48</v>
      </c>
      <c r="H30" s="12" t="n">
        <v>6025</v>
      </c>
      <c r="I30" s="12" t="n">
        <v>301.25</v>
      </c>
      <c r="J30" s="12" t="n">
        <f aca="false">H30*Assumptions!$B$4</f>
        <v>120.5</v>
      </c>
      <c r="K30" s="12" t="n">
        <f aca="false">H30+J30</f>
        <v>6145.5</v>
      </c>
      <c r="L30" s="12" t="n">
        <f aca="false">IF(E30=0,"",K30/E30)</f>
        <v>307.275</v>
      </c>
      <c r="M30" s="9" t="n">
        <v>6</v>
      </c>
      <c r="N30" s="9" t="s">
        <v>67</v>
      </c>
      <c r="O30" s="10" t="s">
        <v>43</v>
      </c>
      <c r="P30" s="13" t="s">
        <v>91</v>
      </c>
    </row>
    <row r="31" customFormat="false" ht="15" hidden="false" customHeight="false" outlineLevel="0" collapsed="false">
      <c r="A31" s="14" t="n">
        <v>50405</v>
      </c>
      <c r="B31" s="15" t="s">
        <v>89</v>
      </c>
      <c r="C31" s="15" t="s">
        <v>72</v>
      </c>
      <c r="D31" s="14" t="s">
        <v>46</v>
      </c>
      <c r="E31" s="16" t="n">
        <v>20</v>
      </c>
      <c r="F31" s="15" t="s">
        <v>55</v>
      </c>
      <c r="G31" s="14" t="s">
        <v>48</v>
      </c>
      <c r="H31" s="17" t="n">
        <v>6000</v>
      </c>
      <c r="I31" s="17" t="n">
        <v>300</v>
      </c>
      <c r="J31" s="17" t="n">
        <f aca="false">H31*Assumptions!$B$4</f>
        <v>120</v>
      </c>
      <c r="K31" s="17" t="n">
        <f aca="false">H31+J31</f>
        <v>6120</v>
      </c>
      <c r="L31" s="17" t="n">
        <f aca="false">IF(E31=0,"",K31/E31)</f>
        <v>306</v>
      </c>
      <c r="M31" s="14" t="n">
        <v>2</v>
      </c>
      <c r="N31" s="14" t="s">
        <v>67</v>
      </c>
      <c r="O31" s="15" t="s">
        <v>43</v>
      </c>
      <c r="P31" s="18" t="s">
        <v>92</v>
      </c>
    </row>
    <row r="32" customFormat="false" ht="15" hidden="false" customHeight="false" outlineLevel="0" collapsed="false">
      <c r="A32" s="9" t="n">
        <v>50345</v>
      </c>
      <c r="B32" s="10" t="s">
        <v>89</v>
      </c>
      <c r="C32" s="10" t="s">
        <v>72</v>
      </c>
      <c r="D32" s="9" t="s">
        <v>58</v>
      </c>
      <c r="E32" s="11" t="n">
        <v>240</v>
      </c>
      <c r="F32" s="10" t="s">
        <v>40</v>
      </c>
      <c r="G32" s="9" t="s">
        <v>48</v>
      </c>
      <c r="H32" s="12" t="n">
        <v>60000</v>
      </c>
      <c r="I32" s="12" t="n">
        <v>250</v>
      </c>
      <c r="J32" s="12" t="n">
        <f aca="false">H32*Assumptions!$B$4</f>
        <v>1200</v>
      </c>
      <c r="K32" s="12" t="n">
        <f aca="false">H32+J32</f>
        <v>61200</v>
      </c>
      <c r="L32" s="12" t="n">
        <f aca="false">IF(E32=0,"",K32/E32)</f>
        <v>255</v>
      </c>
      <c r="M32" s="9" t="n">
        <v>0</v>
      </c>
      <c r="N32" s="9" t="s">
        <v>67</v>
      </c>
      <c r="O32" s="10" t="s">
        <v>43</v>
      </c>
      <c r="P32" s="13" t="s">
        <v>93</v>
      </c>
    </row>
    <row r="33" customFormat="false" ht="15" hidden="false" customHeight="false" outlineLevel="0" collapsed="false">
      <c r="A33" s="14" t="n">
        <v>50354</v>
      </c>
      <c r="B33" s="15" t="s">
        <v>89</v>
      </c>
      <c r="C33" s="15" t="s">
        <v>72</v>
      </c>
      <c r="D33" s="14" t="s">
        <v>58</v>
      </c>
      <c r="E33" s="16" t="n">
        <v>118</v>
      </c>
      <c r="F33" s="15" t="s">
        <v>40</v>
      </c>
      <c r="G33" s="14" t="s">
        <v>48</v>
      </c>
      <c r="H33" s="17" t="n">
        <v>29500</v>
      </c>
      <c r="I33" s="17" t="n">
        <v>250</v>
      </c>
      <c r="J33" s="17" t="n">
        <f aca="false">H33*Assumptions!$B$4</f>
        <v>590</v>
      </c>
      <c r="K33" s="17" t="n">
        <f aca="false">H33+J33</f>
        <v>30090</v>
      </c>
      <c r="L33" s="17" t="n">
        <f aca="false">IF(E33=0,"",K33/E33)</f>
        <v>255</v>
      </c>
      <c r="M33" s="14" t="n">
        <v>0</v>
      </c>
      <c r="N33" s="14" t="s">
        <v>67</v>
      </c>
      <c r="O33" s="15" t="s">
        <v>43</v>
      </c>
      <c r="P33" s="18" t="s">
        <v>94</v>
      </c>
    </row>
    <row r="34" customFormat="false" ht="15" hidden="false" customHeight="false" outlineLevel="0" collapsed="false">
      <c r="A34" s="9" t="n">
        <v>50404</v>
      </c>
      <c r="B34" s="10" t="s">
        <v>95</v>
      </c>
      <c r="C34" s="10" t="s">
        <v>45</v>
      </c>
      <c r="D34" s="9" t="s">
        <v>51</v>
      </c>
      <c r="E34" s="11" t="n">
        <v>20</v>
      </c>
      <c r="F34" s="10" t="s">
        <v>55</v>
      </c>
      <c r="G34" s="9" t="s">
        <v>48</v>
      </c>
      <c r="H34" s="12" t="n">
        <v>4300</v>
      </c>
      <c r="I34" s="12" t="n">
        <v>215</v>
      </c>
      <c r="J34" s="12" t="n">
        <f aca="false">H34*Assumptions!$B$4</f>
        <v>86</v>
      </c>
      <c r="K34" s="12" t="n">
        <f aca="false">H34+J34</f>
        <v>4386</v>
      </c>
      <c r="L34" s="12" t="n">
        <f aca="false">IF(E34=0,"",K34/E34)</f>
        <v>219.3</v>
      </c>
      <c r="M34" s="9" t="n">
        <v>1</v>
      </c>
      <c r="N34" s="9" t="s">
        <v>67</v>
      </c>
      <c r="O34" s="10" t="s">
        <v>43</v>
      </c>
      <c r="P34" s="13" t="s">
        <v>96</v>
      </c>
    </row>
    <row r="35" customFormat="false" ht="15" hidden="false" customHeight="false" outlineLevel="0" collapsed="false">
      <c r="A35" s="14" t="n">
        <v>50397</v>
      </c>
      <c r="B35" s="15" t="s">
        <v>95</v>
      </c>
      <c r="C35" s="15" t="s">
        <v>72</v>
      </c>
      <c r="D35" s="14" t="s">
        <v>46</v>
      </c>
      <c r="E35" s="16" t="n">
        <v>20</v>
      </c>
      <c r="F35" s="15" t="s">
        <v>55</v>
      </c>
      <c r="G35" s="14" t="s">
        <v>48</v>
      </c>
      <c r="H35" s="17" t="n">
        <v>4500</v>
      </c>
      <c r="I35" s="17" t="n">
        <v>225</v>
      </c>
      <c r="J35" s="17" t="n">
        <f aca="false">H35*Assumptions!$B$4</f>
        <v>90</v>
      </c>
      <c r="K35" s="17" t="n">
        <f aca="false">H35+J35</f>
        <v>4590</v>
      </c>
      <c r="L35" s="17" t="n">
        <f aca="false">IF(E35=0,"",K35/E35)</f>
        <v>229.5</v>
      </c>
      <c r="M35" s="14" t="n">
        <v>0</v>
      </c>
      <c r="N35" s="14" t="s">
        <v>67</v>
      </c>
      <c r="O35" s="15" t="s">
        <v>43</v>
      </c>
      <c r="P35" s="18" t="s">
        <v>97</v>
      </c>
    </row>
    <row r="36" customFormat="false" ht="15" hidden="false" customHeight="false" outlineLevel="0" collapsed="false">
      <c r="A36" s="9" t="n">
        <v>50349</v>
      </c>
      <c r="B36" s="10" t="s">
        <v>95</v>
      </c>
      <c r="C36" s="10" t="s">
        <v>72</v>
      </c>
      <c r="D36" s="9" t="s">
        <v>58</v>
      </c>
      <c r="E36" s="11" t="n">
        <v>240</v>
      </c>
      <c r="F36" s="10" t="s">
        <v>40</v>
      </c>
      <c r="G36" s="9" t="s">
        <v>48</v>
      </c>
      <c r="H36" s="12" t="n">
        <v>51600</v>
      </c>
      <c r="I36" s="12" t="n">
        <v>215</v>
      </c>
      <c r="J36" s="12" t="n">
        <f aca="false">H36*Assumptions!$B$4</f>
        <v>1032</v>
      </c>
      <c r="K36" s="12" t="n">
        <f aca="false">H36+J36</f>
        <v>52632</v>
      </c>
      <c r="L36" s="12" t="n">
        <f aca="false">IF(E36=0,"",K36/E36)</f>
        <v>219.3</v>
      </c>
      <c r="M36" s="9" t="n">
        <v>0</v>
      </c>
      <c r="N36" s="9" t="s">
        <v>67</v>
      </c>
      <c r="O36" s="10" t="s">
        <v>43</v>
      </c>
      <c r="P36" s="13" t="s">
        <v>98</v>
      </c>
    </row>
    <row r="37" customFormat="false" ht="15" hidden="false" customHeight="false" outlineLevel="0" collapsed="false">
      <c r="A37" s="14" t="n">
        <v>50360</v>
      </c>
      <c r="B37" s="15" t="s">
        <v>95</v>
      </c>
      <c r="C37" s="15" t="s">
        <v>72</v>
      </c>
      <c r="D37" s="14" t="s">
        <v>58</v>
      </c>
      <c r="E37" s="16" t="n">
        <v>71</v>
      </c>
      <c r="F37" s="15" t="s">
        <v>40</v>
      </c>
      <c r="G37" s="14" t="s">
        <v>48</v>
      </c>
      <c r="H37" s="17" t="n">
        <v>15265</v>
      </c>
      <c r="I37" s="17" t="n">
        <v>215</v>
      </c>
      <c r="J37" s="17" t="n">
        <f aca="false">H37*Assumptions!$B$4</f>
        <v>305.3</v>
      </c>
      <c r="K37" s="17" t="n">
        <f aca="false">H37+J37</f>
        <v>15570.3</v>
      </c>
      <c r="L37" s="17" t="n">
        <f aca="false">IF(E37=0,"",K37/E37)</f>
        <v>219.3</v>
      </c>
      <c r="M37" s="14" t="n">
        <v>0</v>
      </c>
      <c r="N37" s="14" t="s">
        <v>67</v>
      </c>
      <c r="O37" s="15" t="s">
        <v>43</v>
      </c>
      <c r="P37" s="18" t="s">
        <v>99</v>
      </c>
    </row>
    <row r="38" customFormat="false" ht="15" hidden="false" customHeight="false" outlineLevel="0" collapsed="false">
      <c r="A38" s="9" t="n">
        <v>50398</v>
      </c>
      <c r="B38" s="10" t="s">
        <v>95</v>
      </c>
      <c r="C38" s="10" t="s">
        <v>72</v>
      </c>
      <c r="D38" s="9" t="s">
        <v>58</v>
      </c>
      <c r="E38" s="11" t="n">
        <v>20</v>
      </c>
      <c r="F38" s="10" t="s">
        <v>47</v>
      </c>
      <c r="G38" s="9" t="s">
        <v>48</v>
      </c>
      <c r="H38" s="12" t="n">
        <v>4625</v>
      </c>
      <c r="I38" s="12" t="n">
        <v>231.25</v>
      </c>
      <c r="J38" s="12" t="n">
        <f aca="false">H38*Assumptions!$B$4</f>
        <v>92.5</v>
      </c>
      <c r="K38" s="12" t="n">
        <f aca="false">H38+J38</f>
        <v>4717.5</v>
      </c>
      <c r="L38" s="12" t="n">
        <f aca="false">IF(E38=0,"",K38/E38)</f>
        <v>235.875</v>
      </c>
      <c r="M38" s="9" t="n">
        <v>2</v>
      </c>
      <c r="N38" s="9" t="s">
        <v>67</v>
      </c>
      <c r="O38" s="10" t="s">
        <v>43</v>
      </c>
      <c r="P38" s="13" t="s">
        <v>100</v>
      </c>
    </row>
    <row r="39" customFormat="false" ht="15" hidden="false" customHeight="false" outlineLevel="0" collapsed="false">
      <c r="A39" s="14" t="n">
        <v>50418</v>
      </c>
      <c r="B39" s="15" t="s">
        <v>101</v>
      </c>
      <c r="C39" s="15" t="s">
        <v>38</v>
      </c>
      <c r="D39" s="14" t="s">
        <v>58</v>
      </c>
      <c r="E39" s="16" t="n">
        <v>20</v>
      </c>
      <c r="F39" s="15" t="s">
        <v>40</v>
      </c>
      <c r="G39" s="14" t="s">
        <v>48</v>
      </c>
      <c r="H39" s="17" t="n">
        <v>5225</v>
      </c>
      <c r="I39" s="17" t="n">
        <v>261.25</v>
      </c>
      <c r="J39" s="17" t="n">
        <f aca="false">H39*Assumptions!$B$4</f>
        <v>104.5</v>
      </c>
      <c r="K39" s="17" t="n">
        <f aca="false">H39+J39</f>
        <v>5329.5</v>
      </c>
      <c r="L39" s="17" t="n">
        <f aca="false">IF(E39=0,"",K39/E39)</f>
        <v>266.475</v>
      </c>
      <c r="M39" s="14" t="n">
        <v>7</v>
      </c>
      <c r="N39" s="14" t="s">
        <v>67</v>
      </c>
      <c r="O39" s="15" t="s">
        <v>43</v>
      </c>
      <c r="P39" s="18" t="s">
        <v>102</v>
      </c>
    </row>
    <row r="40" customFormat="false" ht="15" hidden="false" customHeight="false" outlineLevel="0" collapsed="false">
      <c r="A40" s="9" t="n">
        <v>50403</v>
      </c>
      <c r="B40" s="10" t="s">
        <v>101</v>
      </c>
      <c r="C40" s="10" t="s">
        <v>45</v>
      </c>
      <c r="D40" s="9" t="s">
        <v>58</v>
      </c>
      <c r="E40" s="11" t="n">
        <v>20</v>
      </c>
      <c r="F40" s="10" t="s">
        <v>55</v>
      </c>
      <c r="G40" s="9" t="s">
        <v>48</v>
      </c>
      <c r="H40" s="12" t="n">
        <v>4200</v>
      </c>
      <c r="I40" s="12" t="n">
        <v>210</v>
      </c>
      <c r="J40" s="12" t="n">
        <f aca="false">H40*Assumptions!$B$4</f>
        <v>84</v>
      </c>
      <c r="K40" s="12" t="n">
        <f aca="false">H40+J40</f>
        <v>4284</v>
      </c>
      <c r="L40" s="12" t="n">
        <f aca="false">IF(E40=0,"",K40/E40)</f>
        <v>214.2</v>
      </c>
      <c r="M40" s="9" t="n">
        <v>0</v>
      </c>
      <c r="N40" s="9" t="s">
        <v>67</v>
      </c>
      <c r="O40" s="10" t="s">
        <v>43</v>
      </c>
      <c r="P40" s="13" t="s">
        <v>103</v>
      </c>
    </row>
    <row r="41" customFormat="false" ht="15" hidden="false" customHeight="false" outlineLevel="0" collapsed="false">
      <c r="A41" s="14" t="n">
        <v>50396</v>
      </c>
      <c r="B41" s="15" t="s">
        <v>101</v>
      </c>
      <c r="C41" s="15" t="s">
        <v>72</v>
      </c>
      <c r="D41" s="14" t="s">
        <v>46</v>
      </c>
      <c r="E41" s="16" t="n">
        <v>20</v>
      </c>
      <c r="F41" s="15" t="s">
        <v>47</v>
      </c>
      <c r="G41" s="14" t="s">
        <v>48</v>
      </c>
      <c r="H41" s="17" t="n">
        <v>4500</v>
      </c>
      <c r="I41" s="17" t="n">
        <v>225</v>
      </c>
      <c r="J41" s="17" t="n">
        <f aca="false">H41*Assumptions!$B$4</f>
        <v>90</v>
      </c>
      <c r="K41" s="17" t="n">
        <f aca="false">H41+J41</f>
        <v>4590</v>
      </c>
      <c r="L41" s="17" t="n">
        <f aca="false">IF(E41=0,"",K41/E41)</f>
        <v>229.5</v>
      </c>
      <c r="M41" s="14" t="n">
        <v>1</v>
      </c>
      <c r="N41" s="14" t="s">
        <v>67</v>
      </c>
      <c r="O41" s="15" t="s">
        <v>43</v>
      </c>
      <c r="P41" s="18" t="s">
        <v>104</v>
      </c>
    </row>
    <row r="42" customFormat="false" ht="15" hidden="false" customHeight="false" outlineLevel="0" collapsed="false">
      <c r="A42" s="9" t="n">
        <v>50337</v>
      </c>
      <c r="B42" s="10" t="s">
        <v>101</v>
      </c>
      <c r="C42" s="10" t="s">
        <v>72</v>
      </c>
      <c r="D42" s="9" t="s">
        <v>51</v>
      </c>
      <c r="E42" s="11" t="n">
        <v>284</v>
      </c>
      <c r="F42" s="10" t="s">
        <v>40</v>
      </c>
      <c r="G42" s="9" t="s">
        <v>48</v>
      </c>
      <c r="H42" s="12" t="n">
        <v>62480</v>
      </c>
      <c r="I42" s="12" t="n">
        <v>220</v>
      </c>
      <c r="J42" s="12" t="n">
        <f aca="false">H42*Assumptions!$B$4</f>
        <v>1249.6</v>
      </c>
      <c r="K42" s="12" t="n">
        <f aca="false">H42+J42</f>
        <v>63729.6</v>
      </c>
      <c r="L42" s="12" t="n">
        <f aca="false">IF(E42=0,"",K42/E42)</f>
        <v>224.4</v>
      </c>
      <c r="M42" s="9" t="n">
        <v>0</v>
      </c>
      <c r="N42" s="9" t="s">
        <v>67</v>
      </c>
      <c r="O42" s="10" t="s">
        <v>43</v>
      </c>
      <c r="P42" s="13" t="s">
        <v>105</v>
      </c>
    </row>
    <row r="43" customFormat="false" ht="15" hidden="false" customHeight="false" outlineLevel="0" collapsed="false">
      <c r="A43" s="14" t="n">
        <v>50331</v>
      </c>
      <c r="B43" s="15" t="s">
        <v>101</v>
      </c>
      <c r="C43" s="15" t="s">
        <v>72</v>
      </c>
      <c r="D43" s="14" t="s">
        <v>58</v>
      </c>
      <c r="E43" s="16" t="n">
        <v>394</v>
      </c>
      <c r="F43" s="15" t="s">
        <v>40</v>
      </c>
      <c r="G43" s="14" t="s">
        <v>48</v>
      </c>
      <c r="H43" s="17" t="n">
        <v>82740</v>
      </c>
      <c r="I43" s="17" t="n">
        <v>210</v>
      </c>
      <c r="J43" s="17" t="n">
        <f aca="false">H43*Assumptions!$B$4</f>
        <v>1654.8</v>
      </c>
      <c r="K43" s="17" t="n">
        <f aca="false">H43+J43</f>
        <v>84394.8</v>
      </c>
      <c r="L43" s="17" t="n">
        <f aca="false">IF(E43=0,"",K43/E43)</f>
        <v>214.2</v>
      </c>
      <c r="M43" s="14" t="n">
        <v>1</v>
      </c>
      <c r="N43" s="14" t="s">
        <v>67</v>
      </c>
      <c r="O43" s="15" t="s">
        <v>43</v>
      </c>
      <c r="P43" s="18" t="s">
        <v>106</v>
      </c>
    </row>
    <row r="44" customFormat="false" ht="15" hidden="false" customHeight="false" outlineLevel="0" collapsed="false">
      <c r="A44" s="9" t="n">
        <v>50353</v>
      </c>
      <c r="B44" s="10" t="s">
        <v>101</v>
      </c>
      <c r="C44" s="10" t="s">
        <v>72</v>
      </c>
      <c r="D44" s="9" t="s">
        <v>58</v>
      </c>
      <c r="E44" s="11" t="n">
        <v>120</v>
      </c>
      <c r="F44" s="10" t="s">
        <v>40</v>
      </c>
      <c r="G44" s="9" t="s">
        <v>48</v>
      </c>
      <c r="H44" s="12" t="n">
        <v>25200</v>
      </c>
      <c r="I44" s="12" t="n">
        <v>210</v>
      </c>
      <c r="J44" s="12" t="n">
        <f aca="false">H44*Assumptions!$B$4</f>
        <v>504</v>
      </c>
      <c r="K44" s="12" t="n">
        <f aca="false">H44+J44</f>
        <v>25704</v>
      </c>
      <c r="L44" s="12" t="n">
        <f aca="false">IF(E44=0,"",K44/E44)</f>
        <v>214.2</v>
      </c>
      <c r="M44" s="9" t="n">
        <v>1</v>
      </c>
      <c r="N44" s="9" t="s">
        <v>67</v>
      </c>
      <c r="O44" s="10" t="s">
        <v>43</v>
      </c>
      <c r="P44" s="13" t="s">
        <v>107</v>
      </c>
    </row>
    <row r="45" customFormat="false" ht="15" hidden="false" customHeight="false" outlineLevel="0" collapsed="false">
      <c r="A45" s="14" t="n">
        <v>50395</v>
      </c>
      <c r="B45" s="15" t="s">
        <v>108</v>
      </c>
      <c r="C45" s="15" t="s">
        <v>38</v>
      </c>
      <c r="D45" s="14" t="s">
        <v>51</v>
      </c>
      <c r="E45" s="16" t="n">
        <v>20</v>
      </c>
      <c r="F45" s="15" t="s">
        <v>40</v>
      </c>
      <c r="G45" s="14" t="s">
        <v>48</v>
      </c>
      <c r="H45" s="17" t="n">
        <v>8200</v>
      </c>
      <c r="I45" s="17" t="n">
        <v>410</v>
      </c>
      <c r="J45" s="17" t="n">
        <f aca="false">H45*Assumptions!$B$4</f>
        <v>164</v>
      </c>
      <c r="K45" s="17" t="n">
        <f aca="false">H45+J45</f>
        <v>8364</v>
      </c>
      <c r="L45" s="17" t="n">
        <f aca="false">IF(E45=0,"",K45/E45)</f>
        <v>418.2</v>
      </c>
      <c r="M45" s="14" t="n">
        <v>40</v>
      </c>
      <c r="N45" s="14" t="s">
        <v>67</v>
      </c>
      <c r="O45" s="15" t="s">
        <v>43</v>
      </c>
      <c r="P45" s="18" t="s">
        <v>109</v>
      </c>
    </row>
    <row r="46" customFormat="false" ht="15" hidden="false" customHeight="false" outlineLevel="0" collapsed="false">
      <c r="A46" s="9" t="n">
        <v>50402</v>
      </c>
      <c r="B46" s="10" t="s">
        <v>108</v>
      </c>
      <c r="C46" s="10" t="s">
        <v>45</v>
      </c>
      <c r="D46" s="9" t="s">
        <v>58</v>
      </c>
      <c r="E46" s="11" t="n">
        <v>20</v>
      </c>
      <c r="F46" s="10" t="s">
        <v>55</v>
      </c>
      <c r="G46" s="9" t="s">
        <v>48</v>
      </c>
      <c r="H46" s="12" t="n">
        <v>6021</v>
      </c>
      <c r="I46" s="12" t="n">
        <v>301.05</v>
      </c>
      <c r="J46" s="12" t="n">
        <f aca="false">H46*Assumptions!$B$4</f>
        <v>120.42</v>
      </c>
      <c r="K46" s="12" t="n">
        <f aca="false">H46+J46</f>
        <v>6141.42</v>
      </c>
      <c r="L46" s="12" t="n">
        <f aca="false">IF(E46=0,"",K46/E46)</f>
        <v>307.071</v>
      </c>
      <c r="M46" s="9" t="n">
        <v>5</v>
      </c>
      <c r="N46" s="9" t="s">
        <v>67</v>
      </c>
      <c r="O46" s="10" t="s">
        <v>43</v>
      </c>
      <c r="P46" s="13" t="s">
        <v>110</v>
      </c>
    </row>
    <row r="47" customFormat="false" ht="15" hidden="false" customHeight="false" outlineLevel="0" collapsed="false">
      <c r="A47" s="14" t="n">
        <v>50335</v>
      </c>
      <c r="B47" s="15" t="s">
        <v>108</v>
      </c>
      <c r="C47" s="15" t="s">
        <v>72</v>
      </c>
      <c r="D47" s="14" t="s">
        <v>58</v>
      </c>
      <c r="E47" s="16" t="n">
        <v>342</v>
      </c>
      <c r="F47" s="15" t="s">
        <v>40</v>
      </c>
      <c r="G47" s="14" t="s">
        <v>48</v>
      </c>
      <c r="H47" s="17" t="n">
        <v>75240</v>
      </c>
      <c r="I47" s="17" t="n">
        <v>220</v>
      </c>
      <c r="J47" s="17" t="n">
        <f aca="false">H47*Assumptions!$B$4</f>
        <v>1504.8</v>
      </c>
      <c r="K47" s="17" t="n">
        <f aca="false">H47+J47</f>
        <v>76744.8</v>
      </c>
      <c r="L47" s="17" t="n">
        <f aca="false">IF(E47=0,"",K47/E47)</f>
        <v>224.4</v>
      </c>
      <c r="M47" s="14" t="n">
        <v>1</v>
      </c>
      <c r="N47" s="14" t="s">
        <v>67</v>
      </c>
      <c r="O47" s="15" t="s">
        <v>43</v>
      </c>
      <c r="P47" s="18" t="s">
        <v>111</v>
      </c>
    </row>
    <row r="48" customFormat="false" ht="15" hidden="false" customHeight="false" outlineLevel="0" collapsed="false">
      <c r="A48" s="9" t="n">
        <v>50355</v>
      </c>
      <c r="B48" s="10" t="s">
        <v>108</v>
      </c>
      <c r="C48" s="10" t="s">
        <v>72</v>
      </c>
      <c r="D48" s="9" t="s">
        <v>58</v>
      </c>
      <c r="E48" s="11" t="n">
        <v>142</v>
      </c>
      <c r="F48" s="10" t="s">
        <v>40</v>
      </c>
      <c r="G48" s="9" t="s">
        <v>48</v>
      </c>
      <c r="H48" s="12" t="n">
        <v>31240</v>
      </c>
      <c r="I48" s="12" t="n">
        <v>220</v>
      </c>
      <c r="J48" s="12" t="n">
        <f aca="false">H48*Assumptions!$B$4</f>
        <v>624.8</v>
      </c>
      <c r="K48" s="12" t="n">
        <f aca="false">H48+J48</f>
        <v>31864.8</v>
      </c>
      <c r="L48" s="12" t="n">
        <f aca="false">IF(E48=0,"",K48/E48)</f>
        <v>224.4</v>
      </c>
      <c r="M48" s="9" t="n">
        <v>0</v>
      </c>
      <c r="N48" s="9" t="s">
        <v>67</v>
      </c>
      <c r="O48" s="10" t="s">
        <v>43</v>
      </c>
      <c r="P48" s="13" t="s">
        <v>112</v>
      </c>
    </row>
    <row r="49" customFormat="false" ht="15" hidden="false" customHeight="false" outlineLevel="0" collapsed="false">
      <c r="A49" s="14" t="n">
        <v>50401</v>
      </c>
      <c r="B49" s="15" t="s">
        <v>113</v>
      </c>
      <c r="C49" s="15" t="s">
        <v>38</v>
      </c>
      <c r="D49" s="14" t="s">
        <v>51</v>
      </c>
      <c r="E49" s="16" t="n">
        <v>20</v>
      </c>
      <c r="F49" s="15" t="s">
        <v>40</v>
      </c>
      <c r="G49" s="14" t="s">
        <v>48</v>
      </c>
      <c r="H49" s="17" t="n">
        <v>6525</v>
      </c>
      <c r="I49" s="17" t="n">
        <v>326.25</v>
      </c>
      <c r="J49" s="17" t="n">
        <f aca="false">H49*Assumptions!$B$4</f>
        <v>130.5</v>
      </c>
      <c r="K49" s="17" t="n">
        <f aca="false">H49+J49</f>
        <v>6655.5</v>
      </c>
      <c r="L49" s="17" t="n">
        <f aca="false">IF(E49=0,"",K49/E49)</f>
        <v>332.775</v>
      </c>
      <c r="M49" s="14" t="n">
        <v>5</v>
      </c>
      <c r="N49" s="14" t="s">
        <v>67</v>
      </c>
      <c r="O49" s="15" t="s">
        <v>43</v>
      </c>
      <c r="P49" s="18" t="s">
        <v>114</v>
      </c>
    </row>
    <row r="50" customFormat="false" ht="15" hidden="false" customHeight="false" outlineLevel="0" collapsed="false">
      <c r="A50" s="9" t="n">
        <v>50394</v>
      </c>
      <c r="B50" s="10" t="s">
        <v>113</v>
      </c>
      <c r="C50" s="10" t="s">
        <v>45</v>
      </c>
      <c r="D50" s="9" t="s">
        <v>58</v>
      </c>
      <c r="E50" s="11" t="n">
        <v>20</v>
      </c>
      <c r="F50" s="10" t="s">
        <v>55</v>
      </c>
      <c r="G50" s="9" t="s">
        <v>48</v>
      </c>
      <c r="H50" s="12" t="n">
        <v>4100</v>
      </c>
      <c r="I50" s="12" t="n">
        <v>205</v>
      </c>
      <c r="J50" s="12" t="n">
        <f aca="false">H50*Assumptions!$B$4</f>
        <v>82</v>
      </c>
      <c r="K50" s="12" t="n">
        <f aca="false">H50+J50</f>
        <v>4182</v>
      </c>
      <c r="L50" s="12" t="n">
        <f aca="false">IF(E50=0,"",K50/E50)</f>
        <v>209.1</v>
      </c>
      <c r="M50" s="9" t="n">
        <v>0</v>
      </c>
      <c r="N50" s="9" t="s">
        <v>67</v>
      </c>
      <c r="O50" s="10" t="s">
        <v>43</v>
      </c>
      <c r="P50" s="13" t="s">
        <v>115</v>
      </c>
    </row>
    <row r="51" customFormat="false" ht="15" hidden="false" customHeight="false" outlineLevel="0" collapsed="false">
      <c r="A51" s="14" t="n">
        <v>50332</v>
      </c>
      <c r="B51" s="15" t="s">
        <v>113</v>
      </c>
      <c r="C51" s="15" t="s">
        <v>72</v>
      </c>
      <c r="D51" s="14" t="s">
        <v>58</v>
      </c>
      <c r="E51" s="16" t="n">
        <v>366</v>
      </c>
      <c r="F51" s="15" t="s">
        <v>40</v>
      </c>
      <c r="G51" s="14" t="s">
        <v>48</v>
      </c>
      <c r="H51" s="17" t="n">
        <v>75030</v>
      </c>
      <c r="I51" s="17" t="n">
        <v>205</v>
      </c>
      <c r="J51" s="17" t="n">
        <f aca="false">H51*Assumptions!$B$4</f>
        <v>1500.6</v>
      </c>
      <c r="K51" s="17" t="n">
        <f aca="false">H51+J51</f>
        <v>76530.6</v>
      </c>
      <c r="L51" s="17" t="n">
        <f aca="false">IF(E51=0,"",K51/E51)</f>
        <v>209.1</v>
      </c>
      <c r="M51" s="14" t="n">
        <v>1</v>
      </c>
      <c r="N51" s="14" t="s">
        <v>67</v>
      </c>
      <c r="O51" s="15" t="s">
        <v>43</v>
      </c>
      <c r="P51" s="18" t="s">
        <v>116</v>
      </c>
    </row>
    <row r="52" customFormat="false" ht="15" hidden="false" customHeight="false" outlineLevel="0" collapsed="false">
      <c r="A52" s="9" t="n">
        <v>50357</v>
      </c>
      <c r="B52" s="10" t="s">
        <v>113</v>
      </c>
      <c r="C52" s="10" t="s">
        <v>72</v>
      </c>
      <c r="D52" s="9" t="s">
        <v>58</v>
      </c>
      <c r="E52" s="11" t="n">
        <v>96</v>
      </c>
      <c r="F52" s="10" t="s">
        <v>40</v>
      </c>
      <c r="G52" s="9" t="s">
        <v>48</v>
      </c>
      <c r="H52" s="12" t="n">
        <v>19680</v>
      </c>
      <c r="I52" s="12" t="n">
        <v>205</v>
      </c>
      <c r="J52" s="12" t="n">
        <f aca="false">H52*Assumptions!$B$4</f>
        <v>393.6</v>
      </c>
      <c r="K52" s="12" t="n">
        <f aca="false">H52+J52</f>
        <v>20073.6</v>
      </c>
      <c r="L52" s="12" t="n">
        <f aca="false">IF(E52=0,"",K52/E52)</f>
        <v>209.1</v>
      </c>
      <c r="M52" s="9" t="n">
        <v>0</v>
      </c>
      <c r="N52" s="9" t="s">
        <v>67</v>
      </c>
      <c r="O52" s="10" t="s">
        <v>43</v>
      </c>
      <c r="P52" s="13" t="s">
        <v>117</v>
      </c>
    </row>
    <row r="53" customFormat="false" ht="15" hidden="false" customHeight="false" outlineLevel="0" collapsed="false">
      <c r="A53" s="14" t="n">
        <v>50393</v>
      </c>
      <c r="B53" s="15" t="s">
        <v>118</v>
      </c>
      <c r="C53" s="15" t="s">
        <v>38</v>
      </c>
      <c r="D53" s="14" t="s">
        <v>58</v>
      </c>
      <c r="E53" s="16" t="n">
        <v>20</v>
      </c>
      <c r="F53" s="15" t="s">
        <v>40</v>
      </c>
      <c r="G53" s="14" t="s">
        <v>48</v>
      </c>
      <c r="H53" s="17" t="n">
        <v>3000</v>
      </c>
      <c r="I53" s="17" t="n">
        <v>150</v>
      </c>
      <c r="J53" s="17" t="n">
        <f aca="false">H53*Assumptions!$B$4</f>
        <v>60</v>
      </c>
      <c r="K53" s="17" t="n">
        <f aca="false">H53+J53</f>
        <v>3060</v>
      </c>
      <c r="L53" s="17" t="n">
        <f aca="false">IF(E53=0,"",K53/E53)</f>
        <v>153</v>
      </c>
      <c r="M53" s="14" t="n">
        <v>1</v>
      </c>
      <c r="N53" s="14" t="s">
        <v>67</v>
      </c>
      <c r="O53" s="15" t="s">
        <v>43</v>
      </c>
      <c r="P53" s="18" t="s">
        <v>119</v>
      </c>
    </row>
    <row r="54" customFormat="false" ht="15" hidden="false" customHeight="false" outlineLevel="0" collapsed="false">
      <c r="A54" s="9" t="n">
        <v>50368</v>
      </c>
      <c r="B54" s="10" t="s">
        <v>118</v>
      </c>
      <c r="C54" s="10" t="s">
        <v>72</v>
      </c>
      <c r="D54" s="9" t="s">
        <v>46</v>
      </c>
      <c r="E54" s="11" t="n">
        <v>22</v>
      </c>
      <c r="F54" s="10" t="s">
        <v>40</v>
      </c>
      <c r="G54" s="9" t="s">
        <v>48</v>
      </c>
      <c r="H54" s="12" t="n">
        <v>6025</v>
      </c>
      <c r="I54" s="12" t="n">
        <v>273.86</v>
      </c>
      <c r="J54" s="12" t="n">
        <f aca="false">H54*Assumptions!$B$4</f>
        <v>120.5</v>
      </c>
      <c r="K54" s="12" t="n">
        <f aca="false">H54+J54</f>
        <v>6145.5</v>
      </c>
      <c r="L54" s="12" t="n">
        <f aca="false">IF(E54=0,"",K54/E54)</f>
        <v>279.340909090909</v>
      </c>
      <c r="M54" s="9" t="n">
        <v>24</v>
      </c>
      <c r="N54" s="9" t="s">
        <v>67</v>
      </c>
      <c r="O54" s="10" t="s">
        <v>43</v>
      </c>
      <c r="P54" s="13" t="s">
        <v>120</v>
      </c>
    </row>
    <row r="55" customFormat="false" ht="15" hidden="false" customHeight="false" outlineLevel="0" collapsed="false">
      <c r="A55" s="14" t="n">
        <v>50344</v>
      </c>
      <c r="B55" s="15" t="s">
        <v>118</v>
      </c>
      <c r="C55" s="15" t="s">
        <v>72</v>
      </c>
      <c r="D55" s="14" t="s">
        <v>58</v>
      </c>
      <c r="E55" s="16" t="n">
        <v>240</v>
      </c>
      <c r="F55" s="15" t="s">
        <v>40</v>
      </c>
      <c r="G55" s="14" t="s">
        <v>48</v>
      </c>
      <c r="H55" s="17" t="n">
        <v>36000</v>
      </c>
      <c r="I55" s="17" t="n">
        <v>150</v>
      </c>
      <c r="J55" s="17" t="n">
        <f aca="false">H55*Assumptions!$B$4</f>
        <v>720</v>
      </c>
      <c r="K55" s="17" t="n">
        <f aca="false">H55+J55</f>
        <v>36720</v>
      </c>
      <c r="L55" s="17" t="n">
        <f aca="false">IF(E55=0,"",K55/E55)</f>
        <v>153</v>
      </c>
      <c r="M55" s="14" t="n">
        <v>0</v>
      </c>
      <c r="N55" s="14" t="s">
        <v>67</v>
      </c>
      <c r="O55" s="15" t="s">
        <v>43</v>
      </c>
      <c r="P55" s="18" t="s">
        <v>121</v>
      </c>
    </row>
    <row r="56" customFormat="false" ht="15" hidden="false" customHeight="false" outlineLevel="0" collapsed="false">
      <c r="A56" s="9" t="n">
        <v>50358</v>
      </c>
      <c r="B56" s="10" t="s">
        <v>118</v>
      </c>
      <c r="C56" s="10" t="s">
        <v>72</v>
      </c>
      <c r="D56" s="9" t="s">
        <v>58</v>
      </c>
      <c r="E56" s="11" t="n">
        <v>95</v>
      </c>
      <c r="F56" s="10" t="s">
        <v>40</v>
      </c>
      <c r="G56" s="9" t="s">
        <v>48</v>
      </c>
      <c r="H56" s="12" t="n">
        <v>14250</v>
      </c>
      <c r="I56" s="12" t="n">
        <v>150</v>
      </c>
      <c r="J56" s="12" t="n">
        <f aca="false">H56*Assumptions!$B$4</f>
        <v>285</v>
      </c>
      <c r="K56" s="12" t="n">
        <f aca="false">H56+J56</f>
        <v>14535</v>
      </c>
      <c r="L56" s="12" t="n">
        <f aca="false">IF(E56=0,"",K56/E56)</f>
        <v>153</v>
      </c>
      <c r="M56" s="9" t="n">
        <v>1</v>
      </c>
      <c r="N56" s="9" t="s">
        <v>67</v>
      </c>
      <c r="O56" s="10" t="s">
        <v>43</v>
      </c>
      <c r="P56" s="13" t="s">
        <v>122</v>
      </c>
    </row>
    <row r="57" customFormat="false" ht="15" hidden="false" customHeight="false" outlineLevel="0" collapsed="false">
      <c r="A57" s="14" t="n">
        <v>50387</v>
      </c>
      <c r="B57" s="15" t="s">
        <v>118</v>
      </c>
      <c r="C57" s="15" t="s">
        <v>72</v>
      </c>
      <c r="D57" s="14" t="s">
        <v>58</v>
      </c>
      <c r="E57" s="16" t="n">
        <v>20</v>
      </c>
      <c r="F57" s="15" t="s">
        <v>55</v>
      </c>
      <c r="G57" s="14" t="s">
        <v>48</v>
      </c>
      <c r="H57" s="17" t="n">
        <v>3000</v>
      </c>
      <c r="I57" s="17" t="n">
        <v>150</v>
      </c>
      <c r="J57" s="17" t="n">
        <f aca="false">H57*Assumptions!$B$4</f>
        <v>60</v>
      </c>
      <c r="K57" s="17" t="n">
        <f aca="false">H57+J57</f>
        <v>3060</v>
      </c>
      <c r="L57" s="17" t="n">
        <f aca="false">IF(E57=0,"",K57/E57)</f>
        <v>153</v>
      </c>
      <c r="M57" s="14" t="n">
        <v>1</v>
      </c>
      <c r="N57" s="14" t="s">
        <v>67</v>
      </c>
      <c r="O57" s="15" t="s">
        <v>43</v>
      </c>
      <c r="P57" s="18" t="s">
        <v>123</v>
      </c>
    </row>
    <row r="58" customFormat="false" ht="15" hidden="false" customHeight="false" outlineLevel="0" collapsed="false">
      <c r="A58" s="9" t="n">
        <v>50392</v>
      </c>
      <c r="B58" s="10" t="s">
        <v>124</v>
      </c>
      <c r="C58" s="10" t="s">
        <v>72</v>
      </c>
      <c r="D58" s="9" t="s">
        <v>46</v>
      </c>
      <c r="E58" s="11" t="n">
        <v>20</v>
      </c>
      <c r="F58" s="10" t="s">
        <v>55</v>
      </c>
      <c r="G58" s="9" t="s">
        <v>48</v>
      </c>
      <c r="H58" s="12" t="n">
        <v>3200</v>
      </c>
      <c r="I58" s="12" t="n">
        <v>160</v>
      </c>
      <c r="J58" s="12" t="n">
        <f aca="false">H58*Assumptions!$B$4</f>
        <v>64</v>
      </c>
      <c r="K58" s="12" t="n">
        <f aca="false">H58+J58</f>
        <v>3264</v>
      </c>
      <c r="L58" s="12" t="n">
        <f aca="false">IF(E58=0,"",K58/E58)</f>
        <v>163.2</v>
      </c>
      <c r="M58" s="9" t="n">
        <v>0</v>
      </c>
      <c r="N58" s="9" t="s">
        <v>67</v>
      </c>
      <c r="O58" s="10" t="s">
        <v>43</v>
      </c>
      <c r="P58" s="13" t="s">
        <v>125</v>
      </c>
    </row>
    <row r="59" customFormat="false" ht="15" hidden="false" customHeight="false" outlineLevel="0" collapsed="false">
      <c r="A59" s="14" t="n">
        <v>50346</v>
      </c>
      <c r="B59" s="15" t="s">
        <v>124</v>
      </c>
      <c r="C59" s="15" t="s">
        <v>72</v>
      </c>
      <c r="D59" s="14" t="s">
        <v>51</v>
      </c>
      <c r="E59" s="16" t="n">
        <v>213</v>
      </c>
      <c r="F59" s="15" t="s">
        <v>40</v>
      </c>
      <c r="G59" s="14" t="s">
        <v>48</v>
      </c>
      <c r="H59" s="17" t="n">
        <v>31950</v>
      </c>
      <c r="I59" s="17" t="n">
        <v>150</v>
      </c>
      <c r="J59" s="17" t="n">
        <f aca="false">H59*Assumptions!$B$4</f>
        <v>639</v>
      </c>
      <c r="K59" s="17" t="n">
        <f aca="false">H59+J59</f>
        <v>32589</v>
      </c>
      <c r="L59" s="17" t="n">
        <f aca="false">IF(E59=0,"",K59/E59)</f>
        <v>153</v>
      </c>
      <c r="M59" s="14" t="n">
        <v>1</v>
      </c>
      <c r="N59" s="14" t="s">
        <v>67</v>
      </c>
      <c r="O59" s="15" t="s">
        <v>43</v>
      </c>
      <c r="P59" s="18" t="s">
        <v>126</v>
      </c>
    </row>
    <row r="60" customFormat="false" ht="15" hidden="false" customHeight="false" outlineLevel="0" collapsed="false">
      <c r="A60" s="9" t="n">
        <v>50359</v>
      </c>
      <c r="B60" s="10" t="s">
        <v>124</v>
      </c>
      <c r="C60" s="10" t="s">
        <v>72</v>
      </c>
      <c r="D60" s="9" t="s">
        <v>51</v>
      </c>
      <c r="E60" s="11" t="n">
        <v>72</v>
      </c>
      <c r="F60" s="10" t="s">
        <v>40</v>
      </c>
      <c r="G60" s="9" t="s">
        <v>48</v>
      </c>
      <c r="H60" s="12" t="n">
        <v>11100</v>
      </c>
      <c r="I60" s="12" t="n">
        <v>154.17</v>
      </c>
      <c r="J60" s="12" t="n">
        <f aca="false">H60*Assumptions!$B$4</f>
        <v>222</v>
      </c>
      <c r="K60" s="12" t="n">
        <f aca="false">H60+J60</f>
        <v>11322</v>
      </c>
      <c r="L60" s="12" t="n">
        <f aca="false">IF(E60=0,"",K60/E60)</f>
        <v>157.25</v>
      </c>
      <c r="M60" s="9" t="n">
        <v>5</v>
      </c>
      <c r="N60" s="9" t="s">
        <v>67</v>
      </c>
      <c r="O60" s="10" t="s">
        <v>43</v>
      </c>
      <c r="P60" s="13" t="s">
        <v>127</v>
      </c>
    </row>
    <row r="61" customFormat="false" ht="15" hidden="false" customHeight="false" outlineLevel="0" collapsed="false">
      <c r="A61" s="14" t="n">
        <v>50350</v>
      </c>
      <c r="B61" s="15" t="s">
        <v>124</v>
      </c>
      <c r="C61" s="15" t="s">
        <v>72</v>
      </c>
      <c r="D61" s="14" t="s">
        <v>58</v>
      </c>
      <c r="E61" s="16" t="n">
        <v>236</v>
      </c>
      <c r="F61" s="15" t="s">
        <v>40</v>
      </c>
      <c r="G61" s="14" t="s">
        <v>48</v>
      </c>
      <c r="H61" s="17" t="n">
        <v>34220</v>
      </c>
      <c r="I61" s="17" t="n">
        <v>145</v>
      </c>
      <c r="J61" s="17" t="n">
        <f aca="false">H61*Assumptions!$B$4</f>
        <v>684.4</v>
      </c>
      <c r="K61" s="17" t="n">
        <f aca="false">H61+J61</f>
        <v>34904.4</v>
      </c>
      <c r="L61" s="17" t="n">
        <f aca="false">IF(E61=0,"",K61/E61)</f>
        <v>147.9</v>
      </c>
      <c r="M61" s="14" t="n">
        <v>0</v>
      </c>
      <c r="N61" s="14" t="s">
        <v>67</v>
      </c>
      <c r="O61" s="15" t="s">
        <v>43</v>
      </c>
      <c r="P61" s="18" t="s">
        <v>128</v>
      </c>
    </row>
    <row r="62" customFormat="false" ht="15" hidden="false" customHeight="false" outlineLevel="0" collapsed="false">
      <c r="A62" s="9" t="n">
        <v>50334</v>
      </c>
      <c r="B62" s="10" t="s">
        <v>129</v>
      </c>
      <c r="C62" s="10" t="s">
        <v>72</v>
      </c>
      <c r="D62" s="9" t="s">
        <v>58</v>
      </c>
      <c r="E62" s="11" t="n">
        <v>377</v>
      </c>
      <c r="F62" s="10" t="s">
        <v>40</v>
      </c>
      <c r="G62" s="9" t="s">
        <v>48</v>
      </c>
      <c r="H62" s="12" t="n">
        <v>79170</v>
      </c>
      <c r="I62" s="12" t="n">
        <v>210</v>
      </c>
      <c r="J62" s="12" t="n">
        <f aca="false">H62*Assumptions!$B$4</f>
        <v>1583.4</v>
      </c>
      <c r="K62" s="12" t="n">
        <f aca="false">H62+J62</f>
        <v>80753.4</v>
      </c>
      <c r="L62" s="12" t="n">
        <f aca="false">IF(E62=0,"",K62/E62)</f>
        <v>214.2</v>
      </c>
      <c r="M62" s="9" t="n">
        <v>1</v>
      </c>
      <c r="N62" s="9" t="s">
        <v>67</v>
      </c>
      <c r="O62" s="10" t="s">
        <v>43</v>
      </c>
      <c r="P62" s="13" t="s">
        <v>130</v>
      </c>
    </row>
    <row r="63" customFormat="false" ht="15" hidden="false" customHeight="false" outlineLevel="0" collapsed="false">
      <c r="A63" s="14" t="n">
        <v>50356</v>
      </c>
      <c r="B63" s="15" t="s">
        <v>129</v>
      </c>
      <c r="C63" s="15" t="s">
        <v>72</v>
      </c>
      <c r="D63" s="14" t="s">
        <v>58</v>
      </c>
      <c r="E63" s="16" t="n">
        <v>120</v>
      </c>
      <c r="F63" s="15" t="s">
        <v>40</v>
      </c>
      <c r="G63" s="14" t="s">
        <v>48</v>
      </c>
      <c r="H63" s="17" t="n">
        <v>30100</v>
      </c>
      <c r="I63" s="17" t="n">
        <v>250.83</v>
      </c>
      <c r="J63" s="17" t="n">
        <f aca="false">H63*Assumptions!$B$4</f>
        <v>602</v>
      </c>
      <c r="K63" s="17" t="n">
        <f aca="false">H63+J63</f>
        <v>30702</v>
      </c>
      <c r="L63" s="17" t="n">
        <f aca="false">IF(E63=0,"",K63/E63)</f>
        <v>255.85</v>
      </c>
      <c r="M63" s="14" t="n">
        <v>3</v>
      </c>
      <c r="N63" s="14" t="s">
        <v>67</v>
      </c>
      <c r="O63" s="15" t="s">
        <v>43</v>
      </c>
      <c r="P63" s="18" t="s">
        <v>131</v>
      </c>
    </row>
    <row r="64" customFormat="false" ht="15" hidden="false" customHeight="false" outlineLevel="0" collapsed="false">
      <c r="A64" s="9" t="n">
        <v>50386</v>
      </c>
      <c r="B64" s="10" t="s">
        <v>129</v>
      </c>
      <c r="C64" s="10" t="s">
        <v>72</v>
      </c>
      <c r="D64" s="9" t="s">
        <v>58</v>
      </c>
      <c r="E64" s="11" t="n">
        <v>20</v>
      </c>
      <c r="F64" s="10" t="s">
        <v>47</v>
      </c>
      <c r="G64" s="9" t="s">
        <v>48</v>
      </c>
      <c r="H64" s="12" t="n">
        <v>4200</v>
      </c>
      <c r="I64" s="12" t="n">
        <v>210</v>
      </c>
      <c r="J64" s="12" t="n">
        <f aca="false">H64*Assumptions!$B$4</f>
        <v>84</v>
      </c>
      <c r="K64" s="12" t="n">
        <f aca="false">H64+J64</f>
        <v>4284</v>
      </c>
      <c r="L64" s="12" t="n">
        <f aca="false">IF(E64=0,"",K64/E64)</f>
        <v>214.2</v>
      </c>
      <c r="M64" s="9" t="n">
        <v>1</v>
      </c>
      <c r="N64" s="9" t="s">
        <v>67</v>
      </c>
      <c r="O64" s="10" t="s">
        <v>43</v>
      </c>
      <c r="P64" s="13" t="s">
        <v>132</v>
      </c>
    </row>
    <row r="65" customFormat="false" ht="15" hidden="false" customHeight="false" outlineLevel="0" collapsed="false">
      <c r="A65" s="14" t="n">
        <v>50391</v>
      </c>
      <c r="B65" s="15" t="s">
        <v>133</v>
      </c>
      <c r="C65" s="15" t="s">
        <v>38</v>
      </c>
      <c r="D65" s="14" t="s">
        <v>51</v>
      </c>
      <c r="E65" s="16" t="n">
        <v>20</v>
      </c>
      <c r="F65" s="15" t="s">
        <v>40</v>
      </c>
      <c r="G65" s="14" t="s">
        <v>48</v>
      </c>
      <c r="H65" s="17" t="n">
        <v>6000</v>
      </c>
      <c r="I65" s="17" t="n">
        <v>300</v>
      </c>
      <c r="J65" s="17" t="n">
        <f aca="false">H65*Assumptions!$B$4</f>
        <v>120</v>
      </c>
      <c r="K65" s="17" t="n">
        <f aca="false">H65+J65</f>
        <v>6120</v>
      </c>
      <c r="L65" s="17" t="n">
        <f aca="false">IF(E65=0,"",K65/E65)</f>
        <v>306</v>
      </c>
      <c r="M65" s="14" t="n">
        <v>11</v>
      </c>
      <c r="N65" s="14" t="s">
        <v>134</v>
      </c>
      <c r="O65" s="15" t="s">
        <v>43</v>
      </c>
      <c r="P65" s="18" t="s">
        <v>135</v>
      </c>
    </row>
    <row r="66" customFormat="false" ht="15" hidden="false" customHeight="false" outlineLevel="0" collapsed="false">
      <c r="A66" s="9" t="n">
        <v>50341</v>
      </c>
      <c r="B66" s="10" t="s">
        <v>133</v>
      </c>
      <c r="C66" s="10" t="s">
        <v>72</v>
      </c>
      <c r="D66" s="9" t="s">
        <v>58</v>
      </c>
      <c r="E66" s="11" t="n">
        <v>288</v>
      </c>
      <c r="F66" s="10" t="s">
        <v>40</v>
      </c>
      <c r="G66" s="9" t="s">
        <v>48</v>
      </c>
      <c r="H66" s="12" t="n">
        <v>50400</v>
      </c>
      <c r="I66" s="12" t="n">
        <v>175</v>
      </c>
      <c r="J66" s="12" t="n">
        <f aca="false">H66*Assumptions!$B$4</f>
        <v>1008</v>
      </c>
      <c r="K66" s="12" t="n">
        <f aca="false">H66+J66</f>
        <v>51408</v>
      </c>
      <c r="L66" s="12" t="n">
        <f aca="false">IF(E66=0,"",K66/E66)</f>
        <v>178.5</v>
      </c>
      <c r="M66" s="9" t="n">
        <v>0</v>
      </c>
      <c r="N66" s="9" t="s">
        <v>67</v>
      </c>
      <c r="O66" s="10" t="s">
        <v>43</v>
      </c>
      <c r="P66" s="13" t="s">
        <v>136</v>
      </c>
    </row>
    <row r="67" customFormat="false" ht="15" hidden="false" customHeight="false" outlineLevel="0" collapsed="false">
      <c r="A67" s="14" t="n">
        <v>50352</v>
      </c>
      <c r="B67" s="15" t="s">
        <v>133</v>
      </c>
      <c r="C67" s="15" t="s">
        <v>72</v>
      </c>
      <c r="D67" s="14" t="s">
        <v>58</v>
      </c>
      <c r="E67" s="16" t="n">
        <v>166</v>
      </c>
      <c r="F67" s="15" t="s">
        <v>40</v>
      </c>
      <c r="G67" s="14" t="s">
        <v>48</v>
      </c>
      <c r="H67" s="17" t="n">
        <v>29050</v>
      </c>
      <c r="I67" s="17" t="n">
        <v>175</v>
      </c>
      <c r="J67" s="17" t="n">
        <f aca="false">H67*Assumptions!$B$4</f>
        <v>581</v>
      </c>
      <c r="K67" s="17" t="n">
        <f aca="false">H67+J67</f>
        <v>29631</v>
      </c>
      <c r="L67" s="17" t="n">
        <f aca="false">IF(E67=0,"",K67/E67)</f>
        <v>178.5</v>
      </c>
      <c r="M67" s="14" t="n">
        <v>0</v>
      </c>
      <c r="N67" s="14" t="s">
        <v>134</v>
      </c>
      <c r="O67" s="15" t="s">
        <v>43</v>
      </c>
      <c r="P67" s="18" t="s">
        <v>137</v>
      </c>
    </row>
    <row r="68" customFormat="false" ht="15" hidden="false" customHeight="false" outlineLevel="0" collapsed="false">
      <c r="A68" s="9" t="n">
        <v>50385</v>
      </c>
      <c r="B68" s="10" t="s">
        <v>138</v>
      </c>
      <c r="C68" s="10" t="s">
        <v>38</v>
      </c>
      <c r="D68" s="9" t="s">
        <v>51</v>
      </c>
      <c r="E68" s="11" t="n">
        <v>20</v>
      </c>
      <c r="F68" s="10" t="s">
        <v>40</v>
      </c>
      <c r="G68" s="9" t="s">
        <v>48</v>
      </c>
      <c r="H68" s="12" t="n">
        <v>3125</v>
      </c>
      <c r="I68" s="12" t="n">
        <v>156.25</v>
      </c>
      <c r="J68" s="12" t="n">
        <f aca="false">H68*Assumptions!$B$4</f>
        <v>62.5</v>
      </c>
      <c r="K68" s="12" t="n">
        <f aca="false">H68+J68</f>
        <v>3187.5</v>
      </c>
      <c r="L68" s="12" t="n">
        <f aca="false">IF(E68=0,"",K68/E68)</f>
        <v>159.375</v>
      </c>
      <c r="M68" s="9" t="n">
        <v>4</v>
      </c>
      <c r="N68" s="9" t="s">
        <v>134</v>
      </c>
      <c r="O68" s="10" t="s">
        <v>43</v>
      </c>
      <c r="P68" s="13" t="s">
        <v>139</v>
      </c>
    </row>
    <row r="69" customFormat="false" ht="15" hidden="false" customHeight="false" outlineLevel="0" collapsed="false">
      <c r="A69" s="14" t="n">
        <v>50383</v>
      </c>
      <c r="B69" s="15" t="s">
        <v>138</v>
      </c>
      <c r="C69" s="15" t="s">
        <v>72</v>
      </c>
      <c r="D69" s="14" t="s">
        <v>46</v>
      </c>
      <c r="E69" s="16" t="n">
        <v>20</v>
      </c>
      <c r="F69" s="15" t="s">
        <v>55</v>
      </c>
      <c r="G69" s="14" t="s">
        <v>48</v>
      </c>
      <c r="H69" s="17" t="n">
        <v>3625</v>
      </c>
      <c r="I69" s="17" t="n">
        <v>181.25</v>
      </c>
      <c r="J69" s="17" t="n">
        <f aca="false">H69*Assumptions!$B$4</f>
        <v>72.5</v>
      </c>
      <c r="K69" s="17" t="n">
        <f aca="false">H69+J69</f>
        <v>3697.5</v>
      </c>
      <c r="L69" s="17" t="n">
        <f aca="false">IF(E69=0,"",K69/E69)</f>
        <v>184.875</v>
      </c>
      <c r="M69" s="14" t="n">
        <v>2</v>
      </c>
      <c r="N69" s="14" t="s">
        <v>134</v>
      </c>
      <c r="O69" s="15" t="s">
        <v>43</v>
      </c>
      <c r="P69" s="18" t="s">
        <v>140</v>
      </c>
    </row>
    <row r="70" customFormat="false" ht="15" hidden="false" customHeight="false" outlineLevel="0" collapsed="false">
      <c r="A70" s="9" t="n">
        <v>50390</v>
      </c>
      <c r="B70" s="10" t="s">
        <v>138</v>
      </c>
      <c r="C70" s="10" t="s">
        <v>72</v>
      </c>
      <c r="D70" s="9" t="s">
        <v>46</v>
      </c>
      <c r="E70" s="11" t="n">
        <v>20</v>
      </c>
      <c r="F70" s="10" t="s">
        <v>47</v>
      </c>
      <c r="G70" s="9" t="s">
        <v>48</v>
      </c>
      <c r="H70" s="12" t="n">
        <v>3675</v>
      </c>
      <c r="I70" s="12" t="n">
        <v>183.75</v>
      </c>
      <c r="J70" s="12" t="n">
        <f aca="false">H70*Assumptions!$B$4</f>
        <v>73.5</v>
      </c>
      <c r="K70" s="12" t="n">
        <f aca="false">H70+J70</f>
        <v>3748.5</v>
      </c>
      <c r="L70" s="12" t="n">
        <f aca="false">IF(E70=0,"",K70/E70)</f>
        <v>187.425</v>
      </c>
      <c r="M70" s="9" t="n">
        <v>6</v>
      </c>
      <c r="N70" s="9" t="s">
        <v>134</v>
      </c>
      <c r="O70" s="10" t="s">
        <v>43</v>
      </c>
      <c r="P70" s="13" t="s">
        <v>141</v>
      </c>
    </row>
    <row r="71" customFormat="false" ht="15" hidden="false" customHeight="false" outlineLevel="0" collapsed="false">
      <c r="A71" s="14" t="n">
        <v>50338</v>
      </c>
      <c r="B71" s="15" t="s">
        <v>138</v>
      </c>
      <c r="C71" s="15" t="s">
        <v>72</v>
      </c>
      <c r="D71" s="14" t="s">
        <v>51</v>
      </c>
      <c r="E71" s="16" t="n">
        <v>279</v>
      </c>
      <c r="F71" s="15" t="s">
        <v>40</v>
      </c>
      <c r="G71" s="14" t="s">
        <v>48</v>
      </c>
      <c r="H71" s="17" t="n">
        <v>41850</v>
      </c>
      <c r="I71" s="17" t="n">
        <v>150</v>
      </c>
      <c r="J71" s="17" t="n">
        <f aca="false">H71*Assumptions!$B$4</f>
        <v>837</v>
      </c>
      <c r="K71" s="17" t="n">
        <f aca="false">H71+J71</f>
        <v>42687</v>
      </c>
      <c r="L71" s="17" t="n">
        <f aca="false">IF(E71=0,"",K71/E71)</f>
        <v>153</v>
      </c>
      <c r="M71" s="14" t="n">
        <v>1</v>
      </c>
      <c r="N71" s="14" t="s">
        <v>134</v>
      </c>
      <c r="O71" s="15" t="s">
        <v>43</v>
      </c>
      <c r="P71" s="18" t="s">
        <v>142</v>
      </c>
    </row>
    <row r="72" customFormat="false" ht="15" hidden="false" customHeight="false" outlineLevel="0" collapsed="false">
      <c r="A72" s="9" t="n">
        <v>50330</v>
      </c>
      <c r="B72" s="10" t="s">
        <v>138</v>
      </c>
      <c r="C72" s="10" t="s">
        <v>72</v>
      </c>
      <c r="D72" s="9" t="s">
        <v>58</v>
      </c>
      <c r="E72" s="11" t="n">
        <v>457</v>
      </c>
      <c r="F72" s="10" t="s">
        <v>40</v>
      </c>
      <c r="G72" s="9" t="s">
        <v>48</v>
      </c>
      <c r="H72" s="12" t="n">
        <v>63980</v>
      </c>
      <c r="I72" s="12" t="n">
        <v>140</v>
      </c>
      <c r="J72" s="12" t="n">
        <f aca="false">H72*Assumptions!$B$4</f>
        <v>1279.6</v>
      </c>
      <c r="K72" s="12" t="n">
        <f aca="false">H72+J72</f>
        <v>65259.6</v>
      </c>
      <c r="L72" s="12" t="n">
        <f aca="false">IF(E72=0,"",K72/E72)</f>
        <v>142.8</v>
      </c>
      <c r="M72" s="9" t="n">
        <v>0</v>
      </c>
      <c r="N72" s="9" t="s">
        <v>134</v>
      </c>
      <c r="O72" s="10" t="s">
        <v>43</v>
      </c>
      <c r="P72" s="13" t="s">
        <v>143</v>
      </c>
    </row>
    <row r="73" customFormat="false" ht="15" hidden="false" customHeight="false" outlineLevel="0" collapsed="false">
      <c r="A73" s="14" t="n">
        <v>50388</v>
      </c>
      <c r="B73" s="15" t="s">
        <v>144</v>
      </c>
      <c r="C73" s="15" t="s">
        <v>38</v>
      </c>
      <c r="D73" s="14" t="s">
        <v>51</v>
      </c>
      <c r="E73" s="16" t="n">
        <v>20</v>
      </c>
      <c r="F73" s="15" t="s">
        <v>40</v>
      </c>
      <c r="G73" s="14" t="s">
        <v>48</v>
      </c>
      <c r="H73" s="17" t="n">
        <v>2100</v>
      </c>
      <c r="I73" s="17" t="n">
        <v>105</v>
      </c>
      <c r="J73" s="17" t="n">
        <f aca="false">H73*Assumptions!$B$4</f>
        <v>42</v>
      </c>
      <c r="K73" s="17" t="n">
        <f aca="false">H73+J73</f>
        <v>2142</v>
      </c>
      <c r="L73" s="17" t="n">
        <f aca="false">IF(E73=0,"",K73/E73)</f>
        <v>107.1</v>
      </c>
      <c r="M73" s="14" t="n">
        <v>1</v>
      </c>
      <c r="N73" s="14" t="s">
        <v>134</v>
      </c>
      <c r="O73" s="15" t="s">
        <v>43</v>
      </c>
      <c r="P73" s="18" t="s">
        <v>145</v>
      </c>
    </row>
    <row r="74" customFormat="false" ht="15" hidden="false" customHeight="false" outlineLevel="0" collapsed="false">
      <c r="A74" s="9" t="n">
        <v>50384</v>
      </c>
      <c r="B74" s="10" t="s">
        <v>144</v>
      </c>
      <c r="C74" s="10" t="s">
        <v>72</v>
      </c>
      <c r="D74" s="9" t="s">
        <v>46</v>
      </c>
      <c r="E74" s="11" t="n">
        <v>20</v>
      </c>
      <c r="F74" s="10" t="s">
        <v>40</v>
      </c>
      <c r="G74" s="9" t="s">
        <v>48</v>
      </c>
      <c r="H74" s="12" t="n">
        <v>2500</v>
      </c>
      <c r="I74" s="12" t="n">
        <v>125</v>
      </c>
      <c r="J74" s="12" t="n">
        <f aca="false">H74*Assumptions!$B$4</f>
        <v>50</v>
      </c>
      <c r="K74" s="12" t="n">
        <f aca="false">H74+J74</f>
        <v>2550</v>
      </c>
      <c r="L74" s="12" t="n">
        <f aca="false">IF(E74=0,"",K74/E74)</f>
        <v>127.5</v>
      </c>
      <c r="M74" s="9" t="n">
        <v>1</v>
      </c>
      <c r="N74" s="9" t="s">
        <v>134</v>
      </c>
      <c r="O74" s="10" t="s">
        <v>43</v>
      </c>
      <c r="P74" s="13" t="s">
        <v>146</v>
      </c>
    </row>
    <row r="75" customFormat="false" ht="15" hidden="false" customHeight="false" outlineLevel="0" collapsed="false">
      <c r="A75" s="14" t="n">
        <v>50342</v>
      </c>
      <c r="B75" s="15" t="s">
        <v>144</v>
      </c>
      <c r="C75" s="15" t="s">
        <v>72</v>
      </c>
      <c r="D75" s="14" t="s">
        <v>58</v>
      </c>
      <c r="E75" s="16" t="n">
        <v>265</v>
      </c>
      <c r="F75" s="15" t="s">
        <v>40</v>
      </c>
      <c r="G75" s="14" t="s">
        <v>48</v>
      </c>
      <c r="H75" s="17" t="n">
        <v>26500</v>
      </c>
      <c r="I75" s="17" t="n">
        <v>100</v>
      </c>
      <c r="J75" s="17" t="n">
        <f aca="false">H75*Assumptions!$B$4</f>
        <v>530</v>
      </c>
      <c r="K75" s="17" t="n">
        <f aca="false">H75+J75</f>
        <v>27030</v>
      </c>
      <c r="L75" s="17" t="n">
        <f aca="false">IF(E75=0,"",K75/E75)</f>
        <v>102</v>
      </c>
      <c r="M75" s="14" t="n">
        <v>0</v>
      </c>
      <c r="N75" s="14" t="s">
        <v>134</v>
      </c>
      <c r="O75" s="15" t="s">
        <v>43</v>
      </c>
      <c r="P75" s="18" t="s">
        <v>147</v>
      </c>
    </row>
    <row r="76" customFormat="false" ht="15" hidden="false" customHeight="false" outlineLevel="0" collapsed="false">
      <c r="A76" s="9" t="n">
        <v>50382</v>
      </c>
      <c r="B76" s="10" t="s">
        <v>148</v>
      </c>
      <c r="C76" s="10" t="s">
        <v>45</v>
      </c>
      <c r="D76" s="9" t="s">
        <v>51</v>
      </c>
      <c r="E76" s="11" t="n">
        <v>20</v>
      </c>
      <c r="F76" s="10" t="s">
        <v>40</v>
      </c>
      <c r="G76" s="9" t="s">
        <v>48</v>
      </c>
      <c r="H76" s="12" t="n">
        <v>4725</v>
      </c>
      <c r="I76" s="12" t="n">
        <v>236.25</v>
      </c>
      <c r="J76" s="12" t="n">
        <f aca="false">H76*Assumptions!$B$4</f>
        <v>94.5</v>
      </c>
      <c r="K76" s="12" t="n">
        <f aca="false">H76+J76</f>
        <v>4819.5</v>
      </c>
      <c r="L76" s="12" t="n">
        <f aca="false">IF(E76=0,"",K76/E76)</f>
        <v>240.975</v>
      </c>
      <c r="M76" s="9" t="n">
        <v>10</v>
      </c>
      <c r="N76" s="9" t="s">
        <v>134</v>
      </c>
      <c r="O76" s="10" t="s">
        <v>43</v>
      </c>
      <c r="P76" s="13" t="s">
        <v>149</v>
      </c>
    </row>
    <row r="77" customFormat="false" ht="15" hidden="false" customHeight="false" outlineLevel="0" collapsed="false">
      <c r="A77" s="14" t="n">
        <v>50336</v>
      </c>
      <c r="B77" s="15" t="s">
        <v>148</v>
      </c>
      <c r="C77" s="15" t="s">
        <v>72</v>
      </c>
      <c r="D77" s="14" t="s">
        <v>58</v>
      </c>
      <c r="E77" s="16" t="n">
        <v>308</v>
      </c>
      <c r="F77" s="15" t="s">
        <v>40</v>
      </c>
      <c r="G77" s="14" t="s">
        <v>48</v>
      </c>
      <c r="H77" s="17" t="n">
        <v>56250</v>
      </c>
      <c r="I77" s="17" t="n">
        <v>182.63</v>
      </c>
      <c r="J77" s="17" t="n">
        <f aca="false">H77*Assumptions!$B$4</f>
        <v>1125</v>
      </c>
      <c r="K77" s="17" t="n">
        <f aca="false">H77+J77</f>
        <v>57375</v>
      </c>
      <c r="L77" s="17" t="n">
        <f aca="false">IF(E77=0,"",K77/E77)</f>
        <v>186.282467532468</v>
      </c>
      <c r="M77" s="14" t="n">
        <v>24</v>
      </c>
      <c r="N77" s="14" t="s">
        <v>134</v>
      </c>
      <c r="O77" s="15" t="s">
        <v>43</v>
      </c>
      <c r="P77" s="18" t="s">
        <v>150</v>
      </c>
    </row>
    <row r="78" customFormat="false" ht="15" hidden="false" customHeight="false" outlineLevel="0" collapsed="false">
      <c r="A78" s="9" t="n">
        <v>50389</v>
      </c>
      <c r="B78" s="10" t="s">
        <v>151</v>
      </c>
      <c r="C78" s="10" t="s">
        <v>152</v>
      </c>
      <c r="D78" s="9" t="s">
        <v>46</v>
      </c>
      <c r="E78" s="11" t="n">
        <v>20</v>
      </c>
      <c r="F78" s="10" t="s">
        <v>40</v>
      </c>
      <c r="G78" s="9" t="s">
        <v>48</v>
      </c>
      <c r="H78" s="12" t="n">
        <v>3025</v>
      </c>
      <c r="I78" s="12" t="n">
        <v>151.25</v>
      </c>
      <c r="J78" s="12" t="n">
        <f aca="false">H78*Assumptions!$B$4</f>
        <v>60.5</v>
      </c>
      <c r="K78" s="12" t="n">
        <f aca="false">H78+J78</f>
        <v>3085.5</v>
      </c>
      <c r="L78" s="12" t="n">
        <f aca="false">IF(E78=0,"",K78/E78)</f>
        <v>154.275</v>
      </c>
      <c r="M78" s="9" t="n">
        <v>18</v>
      </c>
      <c r="N78" s="9" t="s">
        <v>134</v>
      </c>
      <c r="O78" s="10" t="s">
        <v>43</v>
      </c>
      <c r="P78" s="13" t="s">
        <v>153</v>
      </c>
    </row>
    <row r="79" customFormat="false" ht="15" hidden="false" customHeight="false" outlineLevel="0" collapsed="false">
      <c r="A79" s="14" t="n">
        <v>50333</v>
      </c>
      <c r="B79" s="15" t="s">
        <v>151</v>
      </c>
      <c r="C79" s="15" t="s">
        <v>152</v>
      </c>
      <c r="D79" s="14" t="s">
        <v>58</v>
      </c>
      <c r="E79" s="16" t="n">
        <v>418</v>
      </c>
      <c r="F79" s="15" t="s">
        <v>40</v>
      </c>
      <c r="G79" s="14" t="s">
        <v>48</v>
      </c>
      <c r="H79" s="17" t="n">
        <v>35530</v>
      </c>
      <c r="I79" s="17" t="n">
        <v>85</v>
      </c>
      <c r="J79" s="17" t="n">
        <f aca="false">H79*Assumptions!$B$4</f>
        <v>710.6</v>
      </c>
      <c r="K79" s="17" t="n">
        <f aca="false">H79+J79</f>
        <v>36240.6</v>
      </c>
      <c r="L79" s="17" t="n">
        <f aca="false">IF(E79=0,"",K79/E79)</f>
        <v>86.7</v>
      </c>
      <c r="M79" s="14" t="n">
        <v>1</v>
      </c>
      <c r="N79" s="14" t="s">
        <v>134</v>
      </c>
      <c r="O79" s="15" t="s">
        <v>43</v>
      </c>
      <c r="P79" s="18" t="s">
        <v>154</v>
      </c>
    </row>
    <row r="80" customFormat="false" ht="15" hidden="false" customHeight="false" outlineLevel="0" collapsed="false">
      <c r="A80" s="9" t="n">
        <v>50378</v>
      </c>
      <c r="B80" s="10" t="s">
        <v>155</v>
      </c>
      <c r="C80" s="10" t="s">
        <v>72</v>
      </c>
      <c r="D80" s="9" t="s">
        <v>51</v>
      </c>
      <c r="E80" s="11" t="n">
        <v>20</v>
      </c>
      <c r="F80" s="10" t="s">
        <v>40</v>
      </c>
      <c r="G80" s="9" t="s">
        <v>48</v>
      </c>
      <c r="H80" s="12" t="n">
        <v>1300</v>
      </c>
      <c r="I80" s="12" t="n">
        <v>65</v>
      </c>
      <c r="J80" s="12" t="n">
        <f aca="false">H80*Assumptions!$B$4</f>
        <v>26</v>
      </c>
      <c r="K80" s="12" t="n">
        <f aca="false">H80+J80</f>
        <v>1326</v>
      </c>
      <c r="L80" s="12" t="n">
        <f aca="false">IF(E80=0,"",K80/E80)</f>
        <v>66.3</v>
      </c>
      <c r="M80" s="9" t="n">
        <v>1</v>
      </c>
      <c r="N80" s="9" t="s">
        <v>134</v>
      </c>
      <c r="O80" s="10" t="s">
        <v>43</v>
      </c>
      <c r="P80" s="13" t="s">
        <v>156</v>
      </c>
    </row>
    <row r="81" customFormat="false" ht="15" hidden="false" customHeight="false" outlineLevel="0" collapsed="false">
      <c r="A81" s="14" t="n">
        <v>50381</v>
      </c>
      <c r="B81" s="15" t="s">
        <v>157</v>
      </c>
      <c r="C81" s="15" t="s">
        <v>38</v>
      </c>
      <c r="D81" s="14" t="s">
        <v>58</v>
      </c>
      <c r="E81" s="16" t="n">
        <v>20</v>
      </c>
      <c r="F81" s="15" t="s">
        <v>40</v>
      </c>
      <c r="G81" s="14" t="s">
        <v>48</v>
      </c>
      <c r="H81" s="17" t="n">
        <v>2300</v>
      </c>
      <c r="I81" s="17" t="n">
        <v>115</v>
      </c>
      <c r="J81" s="17" t="n">
        <f aca="false">H81*Assumptions!$B$4</f>
        <v>46</v>
      </c>
      <c r="K81" s="17" t="n">
        <f aca="false">H81+J81</f>
        <v>2346</v>
      </c>
      <c r="L81" s="17" t="n">
        <f aca="false">IF(E81=0,"",K81/E81)</f>
        <v>117.3</v>
      </c>
      <c r="M81" s="14" t="n">
        <v>1</v>
      </c>
      <c r="N81" s="14" t="s">
        <v>134</v>
      </c>
      <c r="O81" s="15" t="s">
        <v>43</v>
      </c>
      <c r="P81" s="18" t="s">
        <v>158</v>
      </c>
    </row>
    <row r="82" customFormat="false" ht="15" hidden="false" customHeight="false" outlineLevel="0" collapsed="false">
      <c r="A82" s="9" t="n">
        <v>50377</v>
      </c>
      <c r="B82" s="10" t="s">
        <v>157</v>
      </c>
      <c r="C82" s="10" t="s">
        <v>45</v>
      </c>
      <c r="D82" s="9" t="s">
        <v>51</v>
      </c>
      <c r="E82" s="11" t="n">
        <v>20</v>
      </c>
      <c r="F82" s="10" t="s">
        <v>40</v>
      </c>
      <c r="G82" s="9" t="s">
        <v>48</v>
      </c>
      <c r="H82" s="12" t="n">
        <v>2525</v>
      </c>
      <c r="I82" s="12" t="n">
        <v>126.25</v>
      </c>
      <c r="J82" s="12" t="n">
        <f aca="false">H82*Assumptions!$B$4</f>
        <v>50.5</v>
      </c>
      <c r="K82" s="12" t="n">
        <f aca="false">H82+J82</f>
        <v>2575.5</v>
      </c>
      <c r="L82" s="12" t="n">
        <f aca="false">IF(E82=0,"",K82/E82)</f>
        <v>128.775</v>
      </c>
      <c r="M82" s="9" t="n">
        <v>2</v>
      </c>
      <c r="N82" s="9" t="s">
        <v>134</v>
      </c>
      <c r="O82" s="10" t="s">
        <v>43</v>
      </c>
      <c r="P82" s="13" t="s">
        <v>159</v>
      </c>
    </row>
    <row r="83" customFormat="false" ht="15" hidden="false" customHeight="false" outlineLevel="0" collapsed="false">
      <c r="A83" s="14" t="n">
        <v>50376</v>
      </c>
      <c r="B83" s="15" t="s">
        <v>160</v>
      </c>
      <c r="C83" s="15" t="s">
        <v>152</v>
      </c>
      <c r="D83" s="14" t="s">
        <v>51</v>
      </c>
      <c r="E83" s="16" t="n">
        <v>20</v>
      </c>
      <c r="F83" s="15" t="s">
        <v>40</v>
      </c>
      <c r="G83" s="14" t="s">
        <v>48</v>
      </c>
      <c r="H83" s="17" t="n">
        <v>2225</v>
      </c>
      <c r="I83" s="17" t="n">
        <v>111.25</v>
      </c>
      <c r="J83" s="17" t="n">
        <f aca="false">H83*Assumptions!$B$4</f>
        <v>44.5</v>
      </c>
      <c r="K83" s="17" t="n">
        <f aca="false">H83+J83</f>
        <v>2269.5</v>
      </c>
      <c r="L83" s="17" t="n">
        <f aca="false">IF(E83=0,"",K83/E83)</f>
        <v>113.475</v>
      </c>
      <c r="M83" s="14" t="n">
        <v>3</v>
      </c>
      <c r="N83" s="14" t="s">
        <v>134</v>
      </c>
      <c r="O83" s="15" t="s">
        <v>43</v>
      </c>
      <c r="P83" s="18" t="s">
        <v>161</v>
      </c>
    </row>
    <row r="84" customFormat="false" ht="15" hidden="false" customHeight="false" outlineLevel="0" collapsed="false">
      <c r="A84" s="9" t="n">
        <v>50380</v>
      </c>
      <c r="B84" s="10" t="s">
        <v>160</v>
      </c>
      <c r="C84" s="10" t="s">
        <v>162</v>
      </c>
      <c r="D84" s="9" t="s">
        <v>58</v>
      </c>
      <c r="E84" s="11" t="n">
        <v>20</v>
      </c>
      <c r="F84" s="10" t="s">
        <v>163</v>
      </c>
      <c r="G84" s="9" t="s">
        <v>48</v>
      </c>
      <c r="H84" s="12" t="n">
        <v>1800</v>
      </c>
      <c r="I84" s="12" t="n">
        <v>90</v>
      </c>
      <c r="J84" s="12" t="n">
        <f aca="false">H84*Assumptions!$B$4</f>
        <v>36</v>
      </c>
      <c r="K84" s="12" t="n">
        <f aca="false">H84+J84</f>
        <v>1836</v>
      </c>
      <c r="L84" s="12" t="n">
        <f aca="false">IF(E84=0,"",K84/E84)</f>
        <v>91.8</v>
      </c>
      <c r="M84" s="9" t="n">
        <v>0</v>
      </c>
      <c r="N84" s="9" t="s">
        <v>134</v>
      </c>
      <c r="O84" s="10" t="s">
        <v>43</v>
      </c>
      <c r="P84" s="13" t="s">
        <v>164</v>
      </c>
    </row>
    <row r="85" customFormat="false" ht="15" hidden="false" customHeight="false" outlineLevel="0" collapsed="false">
      <c r="A85" s="14" t="n">
        <v>50372</v>
      </c>
      <c r="B85" s="15" t="s">
        <v>165</v>
      </c>
      <c r="C85" s="15" t="s">
        <v>72</v>
      </c>
      <c r="D85" s="14" t="s">
        <v>51</v>
      </c>
      <c r="E85" s="16" t="n">
        <v>20</v>
      </c>
      <c r="F85" s="15" t="s">
        <v>40</v>
      </c>
      <c r="G85" s="14" t="s">
        <v>48</v>
      </c>
      <c r="H85" s="17" t="n">
        <v>2800</v>
      </c>
      <c r="I85" s="17" t="n">
        <v>140</v>
      </c>
      <c r="J85" s="17" t="n">
        <f aca="false">H85*Assumptions!$B$4</f>
        <v>56</v>
      </c>
      <c r="K85" s="17" t="n">
        <f aca="false">H85+J85</f>
        <v>2856</v>
      </c>
      <c r="L85" s="17" t="n">
        <f aca="false">IF(E85=0,"",K85/E85)</f>
        <v>142.8</v>
      </c>
      <c r="M85" s="14" t="n">
        <v>24</v>
      </c>
      <c r="N85" s="14" t="s">
        <v>134</v>
      </c>
      <c r="O85" s="15" t="s">
        <v>43</v>
      </c>
      <c r="P85" s="18" t="s">
        <v>166</v>
      </c>
    </row>
    <row r="86" customFormat="false" ht="15" hidden="false" customHeight="false" outlineLevel="0" collapsed="false">
      <c r="A86" s="9" t="n">
        <v>50371</v>
      </c>
      <c r="B86" s="10" t="s">
        <v>165</v>
      </c>
      <c r="C86" s="10" t="s">
        <v>152</v>
      </c>
      <c r="D86" s="9" t="s">
        <v>51</v>
      </c>
      <c r="E86" s="11" t="n">
        <v>20</v>
      </c>
      <c r="F86" s="10" t="s">
        <v>47</v>
      </c>
      <c r="G86" s="9" t="s">
        <v>48</v>
      </c>
      <c r="H86" s="12" t="n">
        <v>1600</v>
      </c>
      <c r="I86" s="12" t="n">
        <v>80</v>
      </c>
      <c r="J86" s="12" t="n">
        <f aca="false">H86*Assumptions!$B$4</f>
        <v>32</v>
      </c>
      <c r="K86" s="12" t="n">
        <f aca="false">H86+J86</f>
        <v>1632</v>
      </c>
      <c r="L86" s="12" t="n">
        <f aca="false">IF(E86=0,"",K86/E86)</f>
        <v>81.6</v>
      </c>
      <c r="M86" s="9" t="n">
        <v>0</v>
      </c>
      <c r="N86" s="9" t="s">
        <v>134</v>
      </c>
      <c r="O86" s="10" t="s">
        <v>43</v>
      </c>
      <c r="P86" s="13" t="s">
        <v>167</v>
      </c>
    </row>
    <row r="87" customFormat="false" ht="15" hidden="false" customHeight="false" outlineLevel="0" collapsed="false">
      <c r="A87" s="14" t="n">
        <v>50340</v>
      </c>
      <c r="B87" s="15" t="s">
        <v>165</v>
      </c>
      <c r="C87" s="15" t="s">
        <v>152</v>
      </c>
      <c r="D87" s="14" t="s">
        <v>58</v>
      </c>
      <c r="E87" s="16" t="n">
        <v>250</v>
      </c>
      <c r="F87" s="15" t="s">
        <v>40</v>
      </c>
      <c r="G87" s="14" t="s">
        <v>48</v>
      </c>
      <c r="H87" s="17" t="n">
        <v>18750</v>
      </c>
      <c r="I87" s="17" t="n">
        <v>75</v>
      </c>
      <c r="J87" s="17" t="n">
        <f aca="false">H87*Assumptions!$B$4</f>
        <v>375</v>
      </c>
      <c r="K87" s="17" t="n">
        <f aca="false">H87+J87</f>
        <v>19125</v>
      </c>
      <c r="L87" s="17" t="n">
        <f aca="false">IF(E87=0,"",K87/E87)</f>
        <v>76.5</v>
      </c>
      <c r="M87" s="14" t="n">
        <v>0</v>
      </c>
      <c r="N87" s="14" t="s">
        <v>134</v>
      </c>
      <c r="O87" s="15" t="s">
        <v>43</v>
      </c>
      <c r="P87" s="18" t="s">
        <v>168</v>
      </c>
    </row>
    <row r="88" customFormat="false" ht="15" hidden="false" customHeight="false" outlineLevel="0" collapsed="false">
      <c r="A88" s="9" t="n">
        <v>50351</v>
      </c>
      <c r="B88" s="10" t="s">
        <v>165</v>
      </c>
      <c r="C88" s="10" t="s">
        <v>152</v>
      </c>
      <c r="D88" s="9" t="s">
        <v>58</v>
      </c>
      <c r="E88" s="11" t="n">
        <v>170</v>
      </c>
      <c r="F88" s="10" t="s">
        <v>40</v>
      </c>
      <c r="G88" s="9" t="s">
        <v>48</v>
      </c>
      <c r="H88" s="12" t="n">
        <v>12750</v>
      </c>
      <c r="I88" s="12" t="n">
        <v>75</v>
      </c>
      <c r="J88" s="12" t="n">
        <f aca="false">H88*Assumptions!$B$4</f>
        <v>255</v>
      </c>
      <c r="K88" s="12" t="n">
        <f aca="false">H88+J88</f>
        <v>13005</v>
      </c>
      <c r="L88" s="12" t="n">
        <f aca="false">IF(E88=0,"",K88/E88)</f>
        <v>76.5</v>
      </c>
      <c r="M88" s="9" t="n">
        <v>1</v>
      </c>
      <c r="N88" s="9" t="s">
        <v>134</v>
      </c>
      <c r="O88" s="10" t="s">
        <v>43</v>
      </c>
      <c r="P88" s="13" t="s">
        <v>169</v>
      </c>
    </row>
    <row r="89" customFormat="false" ht="15" hidden="false" customHeight="false" outlineLevel="0" collapsed="false">
      <c r="A89" s="14" t="n">
        <v>50365</v>
      </c>
      <c r="B89" s="15" t="s">
        <v>165</v>
      </c>
      <c r="C89" s="15" t="s">
        <v>162</v>
      </c>
      <c r="D89" s="14" t="s">
        <v>170</v>
      </c>
      <c r="E89" s="16" t="n">
        <v>30</v>
      </c>
      <c r="F89" s="15" t="s">
        <v>163</v>
      </c>
      <c r="G89" s="14" t="s">
        <v>48</v>
      </c>
      <c r="H89" s="17" t="n">
        <v>2550</v>
      </c>
      <c r="I89" s="17" t="n">
        <v>85</v>
      </c>
      <c r="J89" s="17" t="n">
        <f aca="false">H89*Assumptions!$B$4</f>
        <v>51</v>
      </c>
      <c r="K89" s="17" t="n">
        <f aca="false">H89+J89</f>
        <v>2601</v>
      </c>
      <c r="L89" s="17" t="n">
        <f aca="false">IF(E89=0,"",K89/E89)</f>
        <v>86.7</v>
      </c>
      <c r="M89" s="14" t="n">
        <v>1</v>
      </c>
      <c r="N89" s="14" t="s">
        <v>134</v>
      </c>
      <c r="O89" s="15" t="s">
        <v>43</v>
      </c>
      <c r="P89" s="18" t="s">
        <v>171</v>
      </c>
    </row>
    <row r="90" customFormat="false" ht="15" hidden="false" customHeight="false" outlineLevel="0" collapsed="false">
      <c r="A90" s="9" t="n">
        <v>50425</v>
      </c>
      <c r="B90" s="10" t="s">
        <v>172</v>
      </c>
      <c r="C90" s="10" t="s">
        <v>45</v>
      </c>
      <c r="D90" s="9" t="s">
        <v>58</v>
      </c>
      <c r="E90" s="11" t="n">
        <v>20</v>
      </c>
      <c r="F90" s="10" t="s">
        <v>40</v>
      </c>
      <c r="G90" s="9" t="s">
        <v>48</v>
      </c>
      <c r="H90" s="12" t="n">
        <v>800</v>
      </c>
      <c r="I90" s="12" t="n">
        <v>40</v>
      </c>
      <c r="J90" s="12" t="n">
        <f aca="false">H90*Assumptions!$B$4</f>
        <v>16</v>
      </c>
      <c r="K90" s="12" t="n">
        <f aca="false">H90+J90</f>
        <v>816</v>
      </c>
      <c r="L90" s="12" t="n">
        <f aca="false">IF(E90=0,"",K90/E90)</f>
        <v>40.8</v>
      </c>
      <c r="M90" s="9" t="n">
        <v>1</v>
      </c>
      <c r="N90" s="9" t="s">
        <v>67</v>
      </c>
      <c r="O90" s="10" t="s">
        <v>43</v>
      </c>
      <c r="P90" s="13" t="s">
        <v>173</v>
      </c>
    </row>
    <row r="91" customFormat="false" ht="15" hidden="false" customHeight="false" outlineLevel="0" collapsed="false">
      <c r="A91" s="14" t="n">
        <v>50362</v>
      </c>
      <c r="B91" s="15" t="s">
        <v>172</v>
      </c>
      <c r="C91" s="15" t="s">
        <v>152</v>
      </c>
      <c r="D91" s="14" t="s">
        <v>174</v>
      </c>
      <c r="E91" s="16" t="n">
        <v>40</v>
      </c>
      <c r="F91" s="15" t="s">
        <v>163</v>
      </c>
      <c r="G91" s="14" t="s">
        <v>48</v>
      </c>
      <c r="H91" s="17" t="n">
        <v>1600</v>
      </c>
      <c r="I91" s="17" t="n">
        <v>40</v>
      </c>
      <c r="J91" s="17" t="n">
        <f aca="false">H91*Assumptions!$B$4</f>
        <v>32</v>
      </c>
      <c r="K91" s="17" t="n">
        <f aca="false">H91+J91</f>
        <v>1632</v>
      </c>
      <c r="L91" s="17" t="n">
        <f aca="false">IF(E91=0,"",K91/E91)</f>
        <v>40.8</v>
      </c>
      <c r="M91" s="14" t="n">
        <v>0</v>
      </c>
      <c r="N91" s="14" t="s">
        <v>67</v>
      </c>
      <c r="O91" s="15" t="s">
        <v>43</v>
      </c>
      <c r="P91" s="18" t="s">
        <v>175</v>
      </c>
    </row>
    <row r="92" customFormat="false" ht="15" hidden="false" customHeight="false" outlineLevel="0" collapsed="false">
      <c r="A92" s="9" t="n">
        <v>50339</v>
      </c>
      <c r="B92" s="10" t="s">
        <v>172</v>
      </c>
      <c r="C92" s="10" t="s">
        <v>152</v>
      </c>
      <c r="D92" s="9" t="s">
        <v>58</v>
      </c>
      <c r="E92" s="11" t="n">
        <v>272</v>
      </c>
      <c r="F92" s="10" t="s">
        <v>40</v>
      </c>
      <c r="G92" s="9" t="s">
        <v>48</v>
      </c>
      <c r="H92" s="12" t="n">
        <v>12050</v>
      </c>
      <c r="I92" s="12" t="n">
        <v>44.3</v>
      </c>
      <c r="J92" s="12" t="n">
        <f aca="false">H92*Assumptions!$B$4</f>
        <v>241</v>
      </c>
      <c r="K92" s="12" t="n">
        <f aca="false">H92+J92</f>
        <v>12291</v>
      </c>
      <c r="L92" s="12" t="n">
        <f aca="false">IF(E92=0,"",K92/E92)</f>
        <v>45.1875</v>
      </c>
      <c r="M92" s="9" t="n">
        <v>3</v>
      </c>
      <c r="N92" s="9" t="s">
        <v>67</v>
      </c>
      <c r="O92" s="10" t="s">
        <v>43</v>
      </c>
      <c r="P92" s="13" t="s">
        <v>176</v>
      </c>
    </row>
    <row r="93" customFormat="false" ht="15" hidden="false" customHeight="false" outlineLevel="0" collapsed="false">
      <c r="A93" s="14" t="n">
        <v>50366</v>
      </c>
      <c r="B93" s="15" t="s">
        <v>177</v>
      </c>
      <c r="C93" s="15" t="s">
        <v>162</v>
      </c>
      <c r="D93" s="14" t="s">
        <v>46</v>
      </c>
      <c r="E93" s="16" t="n">
        <v>30</v>
      </c>
      <c r="F93" s="15" t="s">
        <v>40</v>
      </c>
      <c r="G93" s="14" t="s">
        <v>48</v>
      </c>
      <c r="H93" s="17" t="n">
        <v>1275</v>
      </c>
      <c r="I93" s="17" t="n">
        <v>42.5</v>
      </c>
      <c r="J93" s="17" t="n">
        <f aca="false">H93*Assumptions!$B$4</f>
        <v>25.5</v>
      </c>
      <c r="K93" s="17" t="n">
        <f aca="false">H93+J93</f>
        <v>1300.5</v>
      </c>
      <c r="L93" s="17" t="n">
        <f aca="false">IF(E93=0,"",K93/E93)</f>
        <v>43.35</v>
      </c>
      <c r="M93" s="14" t="n">
        <v>7</v>
      </c>
      <c r="N93" s="14" t="s">
        <v>134</v>
      </c>
      <c r="O93" s="15" t="s">
        <v>43</v>
      </c>
      <c r="P93" s="18" t="s">
        <v>178</v>
      </c>
    </row>
    <row r="94" customFormat="false" ht="15" hidden="false" customHeight="false" outlineLevel="0" collapsed="false">
      <c r="A94" s="9" t="n">
        <v>50363</v>
      </c>
      <c r="B94" s="10" t="s">
        <v>177</v>
      </c>
      <c r="C94" s="10" t="s">
        <v>162</v>
      </c>
      <c r="D94" s="9" t="s">
        <v>58</v>
      </c>
      <c r="E94" s="11" t="n">
        <v>40</v>
      </c>
      <c r="F94" s="10" t="s">
        <v>163</v>
      </c>
      <c r="G94" s="9" t="s">
        <v>48</v>
      </c>
      <c r="H94" s="12" t="n">
        <v>800</v>
      </c>
      <c r="I94" s="12" t="n">
        <v>20</v>
      </c>
      <c r="J94" s="12" t="n">
        <f aca="false">H94*Assumptions!$B$4</f>
        <v>16</v>
      </c>
      <c r="K94" s="12" t="n">
        <f aca="false">H94+J94</f>
        <v>816</v>
      </c>
      <c r="L94" s="12" t="n">
        <f aca="false">IF(E94=0,"",K94/E94)</f>
        <v>20.4</v>
      </c>
      <c r="M94" s="9" t="n">
        <v>0</v>
      </c>
      <c r="N94" s="9" t="s">
        <v>134</v>
      </c>
      <c r="O94" s="10" t="s">
        <v>43</v>
      </c>
      <c r="P94" s="13" t="s">
        <v>179</v>
      </c>
    </row>
    <row r="95" customFormat="false" ht="15" hidden="false" customHeight="false" outlineLevel="0" collapsed="false">
      <c r="A95" s="14" t="n">
        <v>50367</v>
      </c>
      <c r="B95" s="15" t="s">
        <v>180</v>
      </c>
      <c r="C95" s="15" t="s">
        <v>162</v>
      </c>
      <c r="D95" s="14" t="s">
        <v>46</v>
      </c>
      <c r="E95" s="16" t="n">
        <v>30</v>
      </c>
      <c r="F95" s="15" t="s">
        <v>40</v>
      </c>
      <c r="G95" s="14" t="s">
        <v>48</v>
      </c>
      <c r="H95" s="17" t="n">
        <v>2670</v>
      </c>
      <c r="I95" s="17" t="n">
        <v>89</v>
      </c>
      <c r="J95" s="17" t="n">
        <f aca="false">H95*Assumptions!$B$4</f>
        <v>53.4</v>
      </c>
      <c r="K95" s="17" t="n">
        <f aca="false">H95+J95</f>
        <v>2723.4</v>
      </c>
      <c r="L95" s="17" t="n">
        <f aca="false">IF(E95=0,"",K95/E95)</f>
        <v>90.78</v>
      </c>
      <c r="M95" s="14" t="n">
        <v>7</v>
      </c>
      <c r="N95" s="14" t="s">
        <v>67</v>
      </c>
      <c r="O95" s="15" t="s">
        <v>43</v>
      </c>
      <c r="P95" s="18" t="s">
        <v>181</v>
      </c>
    </row>
    <row r="96" customFormat="false" ht="15" hidden="false" customHeight="false" outlineLevel="0" collapsed="false">
      <c r="A96" s="9" t="n">
        <v>50364</v>
      </c>
      <c r="B96" s="10" t="s">
        <v>182</v>
      </c>
      <c r="C96" s="10" t="s">
        <v>162</v>
      </c>
      <c r="D96" s="9" t="s">
        <v>51</v>
      </c>
      <c r="E96" s="11" t="n">
        <v>35</v>
      </c>
      <c r="F96" s="10" t="s">
        <v>163</v>
      </c>
      <c r="G96" s="9" t="s">
        <v>48</v>
      </c>
      <c r="H96" s="12" t="n">
        <v>1225</v>
      </c>
      <c r="I96" s="12" t="n">
        <v>35</v>
      </c>
      <c r="J96" s="12" t="n">
        <f aca="false">H96*Assumptions!$B$4</f>
        <v>24.5</v>
      </c>
      <c r="K96" s="12" t="n">
        <f aca="false">H96+J96</f>
        <v>1249.5</v>
      </c>
      <c r="L96" s="12" t="n">
        <f aca="false">IF(E96=0,"",K96/E96)</f>
        <v>35.7</v>
      </c>
      <c r="M96" s="9" t="n">
        <v>1</v>
      </c>
      <c r="N96" s="9" t="s">
        <v>67</v>
      </c>
      <c r="O96" s="10" t="s">
        <v>43</v>
      </c>
      <c r="P96" s="13" t="s">
        <v>183</v>
      </c>
    </row>
    <row r="97" customFormat="false" ht="15" hidden="false" customHeight="false" outlineLevel="0" collapsed="false">
      <c r="A97" s="14" t="n">
        <v>50361</v>
      </c>
      <c r="B97" s="15" t="s">
        <v>184</v>
      </c>
      <c r="C97" s="15" t="s">
        <v>162</v>
      </c>
      <c r="D97" s="14" t="s">
        <v>174</v>
      </c>
      <c r="E97" s="16" t="n">
        <v>50</v>
      </c>
      <c r="F97" s="15" t="s">
        <v>163</v>
      </c>
      <c r="G97" s="14" t="s">
        <v>48</v>
      </c>
      <c r="H97" s="17" t="n">
        <v>610</v>
      </c>
      <c r="I97" s="17" t="n">
        <v>12.2</v>
      </c>
      <c r="J97" s="17" t="n">
        <f aca="false">H97*Assumptions!$B$4</f>
        <v>12.2</v>
      </c>
      <c r="K97" s="17" t="n">
        <f aca="false">H97+J97</f>
        <v>622.2</v>
      </c>
      <c r="L97" s="17" t="n">
        <f aca="false">IF(E97=0,"",K97/E97)</f>
        <v>12.444</v>
      </c>
      <c r="M97" s="14" t="n">
        <v>4</v>
      </c>
      <c r="N97" s="14" t="s">
        <v>67</v>
      </c>
      <c r="O97" s="15" t="s">
        <v>43</v>
      </c>
      <c r="P97" s="18" t="s">
        <v>185</v>
      </c>
    </row>
    <row r="98" customFormat="false" ht="15" hidden="false" customHeight="false" outlineLevel="0" collapsed="false">
      <c r="A98" s="19" t="s">
        <v>186</v>
      </c>
      <c r="B98" s="19"/>
      <c r="C98" s="19"/>
      <c r="D98" s="19"/>
      <c r="E98" s="20" t="n">
        <f aca="false">SUM(E2:E97)</f>
        <v>8732</v>
      </c>
      <c r="F98" s="21"/>
      <c r="G98" s="21"/>
      <c r="H98" s="22" t="n">
        <f aca="false">SUM(H2:H97)</f>
        <v>1686225</v>
      </c>
      <c r="I98" s="21"/>
      <c r="J98" s="22" t="n">
        <f aca="false">SUM(J2:J97)</f>
        <v>33724.5</v>
      </c>
      <c r="K98" s="22" t="n">
        <f aca="false">SUM(K2:K97)</f>
        <v>1719949.5</v>
      </c>
      <c r="L98" s="22" t="n">
        <f aca="false">IF(E98=0,"",K98/E98)</f>
        <v>196.970854328905</v>
      </c>
      <c r="M98" s="23" t="s">
        <v>187</v>
      </c>
      <c r="N98" s="23"/>
      <c r="O98" s="23"/>
      <c r="P98" s="23"/>
    </row>
  </sheetData>
  <autoFilter ref="A1:P97"/>
  <mergeCells count="2">
    <mergeCell ref="A98:D98"/>
    <mergeCell ref="M98:P98"/>
  </mergeCells>
  <hyperlinks>
    <hyperlink ref="P2" r:id="rId1" display="https://bstock.com/superior/auction/auction/view/id/50370/"/>
    <hyperlink ref="P3" r:id="rId2" display="https://bstock.com/superior/auction/auction/view/id/50424/"/>
    <hyperlink ref="P4" r:id="rId3" display="https://bstock.com/superior/auction/auction/view/id/50429/"/>
    <hyperlink ref="P5" r:id="rId4" display="https://bstock.com/superior/auction/auction/view/id/50423/"/>
    <hyperlink ref="P6" r:id="rId5" display="https://bstock.com/superior/auction/auction/view/id/50427/"/>
    <hyperlink ref="P7" r:id="rId6" display="https://bstock.com/superior/auction/auction/view/id/50422/"/>
    <hyperlink ref="P8" r:id="rId7" display="https://bstock.com/superior/auction/auction/view/id/50428/"/>
    <hyperlink ref="P9" r:id="rId8" display="https://bstock.com/superior/auction/auction/view/id/50412/"/>
    <hyperlink ref="P10" r:id="rId9" display="https://bstock.com/superior/auction/auction/view/id/50416/"/>
    <hyperlink ref="P11" r:id="rId10" display="https://bstock.com/superior/auction/auction/view/id/50411/"/>
    <hyperlink ref="P12" r:id="rId11" display="https://bstock.com/superior/auction/auction/view/id/50417/"/>
    <hyperlink ref="P13" r:id="rId12" display="https://bstock.com/superior/auction/auction/view/id/50410/"/>
    <hyperlink ref="P14" r:id="rId13" display="https://bstock.com/superior/auction/auction/view/id/50415/"/>
    <hyperlink ref="P15" r:id="rId14" display="https://bstock.com/superior/auction/auction/view/id/50420/"/>
    <hyperlink ref="P16" r:id="rId15" display="https://bstock.com/superior/auction/auction/view/id/50414/"/>
    <hyperlink ref="P17" r:id="rId16" display="https://bstock.com/superior/auction/auction/view/id/50409/"/>
    <hyperlink ref="P18" r:id="rId17" display="https://bstock.com/superior/auction/auction/view/id/50419/"/>
    <hyperlink ref="P19" r:id="rId18" display="https://bstock.com/superior/auction/auction/view/id/50348/"/>
    <hyperlink ref="P20" r:id="rId19" display="https://bstock.com/superior/auction/auction/view/id/50426/"/>
    <hyperlink ref="P21" r:id="rId20" display="https://bstock.com/superior/auction/auction/view/id/50421/"/>
    <hyperlink ref="P22" r:id="rId21" display="https://bstock.com/superior/auction/auction/view/id/50369/"/>
    <hyperlink ref="P23" r:id="rId22" display="https://bstock.com/superior/auction/auction/view/id/50408/"/>
    <hyperlink ref="P24" r:id="rId23" display="https://bstock.com/superior/auction/auction/view/id/50407/"/>
    <hyperlink ref="P25" r:id="rId24" display="https://bstock.com/superior/auction/auction/view/id/50406/"/>
    <hyperlink ref="P26" r:id="rId25" display="https://bstock.com/superior/auction/auction/view/id/50400/"/>
    <hyperlink ref="P27" r:id="rId26" display="https://bstock.com/superior/auction/auction/view/id/50343/"/>
    <hyperlink ref="P28" r:id="rId27" display="https://bstock.com/superior/auction/auction/view/id/50347/"/>
    <hyperlink ref="P29" r:id="rId28" display="https://bstock.com/superior/auction/auction/view/id/50413/"/>
    <hyperlink ref="P30" r:id="rId29" display="https://bstock.com/superior/auction/auction/view/id/50399/"/>
    <hyperlink ref="P31" r:id="rId30" display="https://bstock.com/superior/auction/auction/view/id/50405/"/>
    <hyperlink ref="P32" r:id="rId31" display="https://bstock.com/superior/auction/auction/view/id/50345/"/>
    <hyperlink ref="P33" r:id="rId32" display="https://bstock.com/superior/auction/auction/view/id/50354/"/>
    <hyperlink ref="P34" r:id="rId33" display="https://bstock.com/superior/auction/auction/view/id/50404/"/>
    <hyperlink ref="P35" r:id="rId34" display="https://bstock.com/superior/auction/auction/view/id/50397/"/>
    <hyperlink ref="P36" r:id="rId35" display="https://bstock.com/superior/auction/auction/view/id/50349/"/>
    <hyperlink ref="P37" r:id="rId36" display="https://bstock.com/superior/auction/auction/view/id/50360/"/>
    <hyperlink ref="P38" r:id="rId37" display="https://bstock.com/superior/auction/auction/view/id/50398/"/>
    <hyperlink ref="P39" r:id="rId38" display="https://bstock.com/superior/auction/auction/view/id/50418/"/>
    <hyperlink ref="P40" r:id="rId39" display="https://bstock.com/superior/auction/auction/view/id/50403/"/>
    <hyperlink ref="P41" r:id="rId40" display="https://bstock.com/superior/auction/auction/view/id/50396/"/>
    <hyperlink ref="P42" r:id="rId41" display="https://bstock.com/superior/auction/auction/view/id/50337/"/>
    <hyperlink ref="P43" r:id="rId42" display="https://bstock.com/superior/auction/auction/view/id/50331/"/>
    <hyperlink ref="P44" r:id="rId43" display="https://bstock.com/superior/auction/auction/view/id/50353/"/>
    <hyperlink ref="P45" r:id="rId44" display="https://bstock.com/superior/auction/auction/view/id/50395/"/>
    <hyperlink ref="P46" r:id="rId45" display="https://bstock.com/superior/auction/auction/view/id/50402/"/>
    <hyperlink ref="P47" r:id="rId46" display="https://bstock.com/superior/auction/auction/view/id/50335/"/>
    <hyperlink ref="P48" r:id="rId47" display="https://bstock.com/superior/auction/auction/view/id/50355/"/>
    <hyperlink ref="P49" r:id="rId48" display="https://bstock.com/superior/auction/auction/view/id/50401/"/>
    <hyperlink ref="P50" r:id="rId49" display="https://bstock.com/superior/auction/auction/view/id/50394/"/>
    <hyperlink ref="P51" r:id="rId50" display="https://bstock.com/superior/auction/auction/view/id/50332/"/>
    <hyperlink ref="P52" r:id="rId51" display="https://bstock.com/superior/auction/auction/view/id/50357/"/>
    <hyperlink ref="P53" r:id="rId52" display="https://bstock.com/superior/auction/auction/view/id/50393/"/>
    <hyperlink ref="P54" r:id="rId53" display="https://bstock.com/superior/auction/auction/view/id/50368/"/>
    <hyperlink ref="P55" r:id="rId54" display="https://bstock.com/superior/auction/auction/view/id/50344/"/>
    <hyperlink ref="P56" r:id="rId55" display="https://bstock.com/superior/auction/auction/view/id/50358/"/>
    <hyperlink ref="P57" r:id="rId56" display="https://bstock.com/superior/auction/auction/view/id/50387/"/>
    <hyperlink ref="P58" r:id="rId57" display="https://bstock.com/superior/auction/auction/view/id/50392/"/>
    <hyperlink ref="P59" r:id="rId58" display="https://bstock.com/superior/auction/auction/view/id/50346/"/>
    <hyperlink ref="P60" r:id="rId59" display="https://bstock.com/superior/auction/auction/view/id/50359/"/>
    <hyperlink ref="P61" r:id="rId60" display="https://bstock.com/superior/auction/auction/view/id/50350/"/>
    <hyperlink ref="P62" r:id="rId61" display="https://bstock.com/superior/auction/auction/view/id/50334/"/>
    <hyperlink ref="P63" r:id="rId62" display="https://bstock.com/superior/auction/auction/view/id/50356/"/>
    <hyperlink ref="P64" r:id="rId63" display="https://bstock.com/superior/auction/auction/view/id/50386/"/>
    <hyperlink ref="P65" r:id="rId64" display="https://bstock.com/superior/auction/auction/view/id/50391/"/>
    <hyperlink ref="P66" r:id="rId65" display="https://bstock.com/superior/auction/auction/view/id/50341/"/>
    <hyperlink ref="P67" r:id="rId66" display="https://bstock.com/superior/auction/auction/view/id/50352/"/>
    <hyperlink ref="P68" r:id="rId67" display="https://bstock.com/superior/auction/auction/view/id/50385/"/>
    <hyperlink ref="P69" r:id="rId68" display="https://bstock.com/superior/auction/auction/view/id/50383/"/>
    <hyperlink ref="P70" r:id="rId69" display="https://bstock.com/superior/auction/auction/view/id/50390/"/>
    <hyperlink ref="P71" r:id="rId70" display="https://bstock.com/superior/auction/auction/view/id/50338/"/>
    <hyperlink ref="P72" r:id="rId71" display="https://bstock.com/superior/auction/auction/view/id/50330/"/>
    <hyperlink ref="P73" r:id="rId72" display="https://bstock.com/superior/auction/auction/view/id/50388/"/>
    <hyperlink ref="P74" r:id="rId73" display="https://bstock.com/superior/auction/auction/view/id/50384/"/>
    <hyperlink ref="P75" r:id="rId74" display="https://bstock.com/superior/auction/auction/view/id/50342/"/>
    <hyperlink ref="P76" r:id="rId75" display="https://bstock.com/superior/auction/auction/view/id/50382/"/>
    <hyperlink ref="P77" r:id="rId76" display="https://bstock.com/superior/auction/auction/view/id/50336/"/>
    <hyperlink ref="P78" r:id="rId77" display="https://bstock.com/superior/auction/auction/view/id/50389/"/>
    <hyperlink ref="P79" r:id="rId78" display="https://bstock.com/superior/auction/auction/view/id/50333/"/>
    <hyperlink ref="P80" r:id="rId79" display="https://bstock.com/superior/auction/auction/view/id/50378/"/>
    <hyperlink ref="P81" r:id="rId80" display="https://bstock.com/superior/auction/auction/view/id/50381/"/>
    <hyperlink ref="P82" r:id="rId81" display="https://bstock.com/superior/auction/auction/view/id/50377/"/>
    <hyperlink ref="P83" r:id="rId82" display="https://bstock.com/superior/auction/auction/view/id/50376/"/>
    <hyperlink ref="P84" r:id="rId83" display="https://bstock.com/superior/auction/auction/view/id/50380/"/>
    <hyperlink ref="P85" r:id="rId84" display="https://bstock.com/superior/auction/auction/view/id/50372/"/>
    <hyperlink ref="P86" r:id="rId85" display="https://bstock.com/superior/auction/auction/view/id/50371/"/>
    <hyperlink ref="P87" r:id="rId86" display="https://bstock.com/superior/auction/auction/view/id/50340/"/>
    <hyperlink ref="P88" r:id="rId87" display="https://bstock.com/superior/auction/auction/view/id/50351/"/>
    <hyperlink ref="P89" r:id="rId88" display="https://bstock.com/superior/auction/auction/view/id/50365/"/>
    <hyperlink ref="P90" r:id="rId89" display="https://bstock.com/superior/auction/auction/view/id/50425/"/>
    <hyperlink ref="P91" r:id="rId90" display="https://bstock.com/superior/auction/auction/view/id/50362/"/>
    <hyperlink ref="P92" r:id="rId91" display="https://bstock.com/superior/auction/auction/view/id/50339/"/>
    <hyperlink ref="P93" r:id="rId92" display="https://bstock.com/superior/auction/auction/view/id/50366/"/>
    <hyperlink ref="P94" r:id="rId93" display="https://bstock.com/superior/auction/auction/view/id/50363/"/>
    <hyperlink ref="P95" r:id="rId94" display="https://bstock.com/superior/auction/auction/view/id/50367/"/>
    <hyperlink ref="P96" r:id="rId95" display="https://bstock.com/superior/auction/auction/view/id/50364/"/>
    <hyperlink ref="P97" r:id="rId96" display="https://bstock.com/superior/auction/auction/view/id/50361/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97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3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24"/>
    <col collapsed="false" customWidth="true" hidden="false" outlineLevel="0" max="2" min="2" style="1" width="8"/>
    <col collapsed="false" customWidth="true" hidden="false" outlineLevel="0" max="3" min="3" style="1" width="10"/>
    <col collapsed="false" customWidth="true" hidden="false" outlineLevel="0" max="4" min="4" style="1" width="18"/>
    <col collapsed="false" customWidth="true" hidden="false" outlineLevel="0" max="5" min="5" style="1" width="14"/>
    <col collapsed="false" customWidth="true" hidden="false" outlineLevel="0" max="6" min="6" style="1" width="19"/>
    <col collapsed="false" customWidth="true" hidden="false" outlineLevel="0" max="7" min="7" style="1" width="20"/>
  </cols>
  <sheetData>
    <row r="1" customFormat="false" ht="30" hidden="false" customHeight="true" outlineLevel="0" collapsed="false">
      <c r="A1" s="8" t="s">
        <v>188</v>
      </c>
      <c r="B1" s="8" t="s">
        <v>189</v>
      </c>
      <c r="C1" s="8" t="s">
        <v>25</v>
      </c>
      <c r="D1" s="8" t="s">
        <v>190</v>
      </c>
      <c r="E1" s="8" t="s">
        <v>30</v>
      </c>
      <c r="F1" s="8" t="s">
        <v>31</v>
      </c>
      <c r="G1" s="8" t="s">
        <v>191</v>
      </c>
    </row>
    <row r="2" customFormat="false" ht="15" hidden="false" customHeight="false" outlineLevel="0" collapsed="false">
      <c r="A2" s="10" t="s">
        <v>37</v>
      </c>
      <c r="B2" s="9" t="n">
        <f aca="false">COUNTIF('Auction Inventory'!$B$2:$B$97,$A2)</f>
        <v>2</v>
      </c>
      <c r="C2" s="24" t="n">
        <f aca="false">SUMIF('Auction Inventory'!$B$2:$B$97,$A2,'Auction Inventory'!$E$2:$E$97)</f>
        <v>40</v>
      </c>
      <c r="D2" s="12" t="n">
        <f aca="false">SUMIF('Auction Inventory'!$B$2:$B$97,$A2,'Auction Inventory'!$H$2:$H$97)</f>
        <v>37250</v>
      </c>
      <c r="E2" s="12" t="n">
        <f aca="false">D2*Assumptions!$B$4</f>
        <v>745</v>
      </c>
      <c r="F2" s="12" t="n">
        <f aca="false">D2+E2</f>
        <v>37995</v>
      </c>
      <c r="G2" s="12" t="n">
        <f aca="false">IF(C2=0,"",F2/C2)</f>
        <v>949.875</v>
      </c>
    </row>
    <row r="3" customFormat="false" ht="15" hidden="false" customHeight="false" outlineLevel="0" collapsed="false">
      <c r="A3" s="15" t="s">
        <v>50</v>
      </c>
      <c r="B3" s="14" t="n">
        <f aca="false">COUNTIF('Auction Inventory'!$B$2:$B$97,$A3)</f>
        <v>1</v>
      </c>
      <c r="C3" s="25" t="n">
        <f aca="false">SUMIF('Auction Inventory'!$B$2:$B$97,$A3,'Auction Inventory'!$E$2:$E$97)</f>
        <v>20</v>
      </c>
      <c r="D3" s="17" t="n">
        <f aca="false">SUMIF('Auction Inventory'!$B$2:$B$97,$A3,'Auction Inventory'!$H$2:$H$97)</f>
        <v>13050</v>
      </c>
      <c r="E3" s="17" t="n">
        <f aca="false">D3*Assumptions!$B$4</f>
        <v>261</v>
      </c>
      <c r="F3" s="17" t="n">
        <f aca="false">D3+E3</f>
        <v>13311</v>
      </c>
      <c r="G3" s="17" t="n">
        <f aca="false">IF(C3=0,"",F3/C3)</f>
        <v>665.55</v>
      </c>
    </row>
    <row r="4" customFormat="false" ht="15" hidden="false" customHeight="false" outlineLevel="0" collapsed="false">
      <c r="A4" s="10" t="s">
        <v>53</v>
      </c>
      <c r="B4" s="9" t="n">
        <f aca="false">COUNTIF('Auction Inventory'!$B$2:$B$97,$A4)</f>
        <v>4</v>
      </c>
      <c r="C4" s="24" t="n">
        <f aca="false">SUMIF('Auction Inventory'!$B$2:$B$97,$A4,'Auction Inventory'!$E$2:$E$97)</f>
        <v>80</v>
      </c>
      <c r="D4" s="12" t="n">
        <f aca="false">SUMIF('Auction Inventory'!$B$2:$B$97,$A4,'Auction Inventory'!$H$2:$H$97)</f>
        <v>35350</v>
      </c>
      <c r="E4" s="12" t="n">
        <f aca="false">D4*Assumptions!$B$4</f>
        <v>707</v>
      </c>
      <c r="F4" s="12" t="n">
        <f aca="false">D4+E4</f>
        <v>36057</v>
      </c>
      <c r="G4" s="12" t="n">
        <f aca="false">IF(C4=0,"",F4/C4)</f>
        <v>450.7125</v>
      </c>
    </row>
    <row r="5" customFormat="false" ht="15" hidden="false" customHeight="false" outlineLevel="0" collapsed="false">
      <c r="A5" s="15" t="s">
        <v>60</v>
      </c>
      <c r="B5" s="14" t="n">
        <f aca="false">COUNTIF('Auction Inventory'!$B$2:$B$97,$A5)</f>
        <v>4</v>
      </c>
      <c r="C5" s="25" t="n">
        <f aca="false">SUMIF('Auction Inventory'!$B$2:$B$97,$A5,'Auction Inventory'!$E$2:$E$97)</f>
        <v>80</v>
      </c>
      <c r="D5" s="17" t="n">
        <f aca="false">SUMIF('Auction Inventory'!$B$2:$B$97,$A5,'Auction Inventory'!$H$2:$H$97)</f>
        <v>45350</v>
      </c>
      <c r="E5" s="17" t="n">
        <f aca="false">D5*Assumptions!$B$4</f>
        <v>907</v>
      </c>
      <c r="F5" s="17" t="n">
        <f aca="false">D5+E5</f>
        <v>46257</v>
      </c>
      <c r="G5" s="17" t="n">
        <f aca="false">IF(C5=0,"",F5/C5)</f>
        <v>578.2125</v>
      </c>
    </row>
    <row r="6" customFormat="false" ht="15" hidden="false" customHeight="false" outlineLevel="0" collapsed="false">
      <c r="A6" s="10" t="s">
        <v>66</v>
      </c>
      <c r="B6" s="9" t="n">
        <f aca="false">COUNTIF('Auction Inventory'!$B$2:$B$97,$A6)</f>
        <v>1</v>
      </c>
      <c r="C6" s="24" t="n">
        <f aca="false">SUMIF('Auction Inventory'!$B$2:$B$97,$A6,'Auction Inventory'!$E$2:$E$97)</f>
        <v>20</v>
      </c>
      <c r="D6" s="12" t="n">
        <f aca="false">SUMIF('Auction Inventory'!$B$2:$B$97,$A6,'Auction Inventory'!$H$2:$H$97)</f>
        <v>8938</v>
      </c>
      <c r="E6" s="12" t="n">
        <f aca="false">D6*Assumptions!$B$4</f>
        <v>178.76</v>
      </c>
      <c r="F6" s="12" t="n">
        <f aca="false">D6+E6</f>
        <v>9116.76</v>
      </c>
      <c r="G6" s="12" t="n">
        <f aca="false">IF(C6=0,"",F6/C6)</f>
        <v>455.838</v>
      </c>
    </row>
    <row r="7" customFormat="false" ht="15" hidden="false" customHeight="false" outlineLevel="0" collapsed="false">
      <c r="A7" s="15" t="s">
        <v>69</v>
      </c>
      <c r="B7" s="14" t="n">
        <f aca="false">COUNTIF('Auction Inventory'!$B$2:$B$97,$A7)</f>
        <v>4</v>
      </c>
      <c r="C7" s="25" t="n">
        <f aca="false">SUMIF('Auction Inventory'!$B$2:$B$97,$A7,'Auction Inventory'!$E$2:$E$97)</f>
        <v>80</v>
      </c>
      <c r="D7" s="17" t="n">
        <f aca="false">SUMIF('Auction Inventory'!$B$2:$B$97,$A7,'Auction Inventory'!$H$2:$H$97)</f>
        <v>27150</v>
      </c>
      <c r="E7" s="17" t="n">
        <f aca="false">D7*Assumptions!$B$4</f>
        <v>543</v>
      </c>
      <c r="F7" s="17" t="n">
        <f aca="false">D7+E7</f>
        <v>27693</v>
      </c>
      <c r="G7" s="17" t="n">
        <f aca="false">IF(C7=0,"",F7/C7)</f>
        <v>346.1625</v>
      </c>
    </row>
    <row r="8" customFormat="false" ht="15" hidden="false" customHeight="false" outlineLevel="0" collapsed="false">
      <c r="A8" s="10" t="s">
        <v>75</v>
      </c>
      <c r="B8" s="9" t="n">
        <f aca="false">COUNTIF('Auction Inventory'!$B$2:$B$97,$A8)</f>
        <v>2</v>
      </c>
      <c r="C8" s="24" t="n">
        <f aca="false">SUMIF('Auction Inventory'!$B$2:$B$97,$A8,'Auction Inventory'!$E$2:$E$97)</f>
        <v>266</v>
      </c>
      <c r="D8" s="12" t="n">
        <f aca="false">SUMIF('Auction Inventory'!$B$2:$B$97,$A8,'Auction Inventory'!$H$2:$H$97)</f>
        <v>69685</v>
      </c>
      <c r="E8" s="12" t="n">
        <f aca="false">D8*Assumptions!$B$4</f>
        <v>1393.7</v>
      </c>
      <c r="F8" s="12" t="n">
        <f aca="false">D8+E8</f>
        <v>71078.7</v>
      </c>
      <c r="G8" s="12" t="n">
        <f aca="false">IF(C8=0,"",F8/C8)</f>
        <v>267.213157894737</v>
      </c>
    </row>
    <row r="9" customFormat="false" ht="15" hidden="false" customHeight="false" outlineLevel="0" collapsed="false">
      <c r="A9" s="15" t="s">
        <v>78</v>
      </c>
      <c r="B9" s="14" t="n">
        <f aca="false">COUNTIF('Auction Inventory'!$B$2:$B$97,$A9)</f>
        <v>3</v>
      </c>
      <c r="C9" s="25" t="n">
        <f aca="false">SUMIF('Auction Inventory'!$B$2:$B$97,$A9,'Auction Inventory'!$E$2:$E$97)</f>
        <v>60</v>
      </c>
      <c r="D9" s="17" t="n">
        <f aca="false">SUMIF('Auction Inventory'!$B$2:$B$97,$A9,'Auction Inventory'!$H$2:$H$97)</f>
        <v>15156</v>
      </c>
      <c r="E9" s="17" t="n">
        <f aca="false">D9*Assumptions!$B$4</f>
        <v>303.12</v>
      </c>
      <c r="F9" s="17" t="n">
        <f aca="false">D9+E9</f>
        <v>15459.12</v>
      </c>
      <c r="G9" s="17" t="n">
        <f aca="false">IF(C9=0,"",F9/C9)</f>
        <v>257.652</v>
      </c>
    </row>
    <row r="10" customFormat="false" ht="15" hidden="false" customHeight="false" outlineLevel="0" collapsed="false">
      <c r="A10" s="10" t="s">
        <v>82</v>
      </c>
      <c r="B10" s="9" t="n">
        <f aca="false">COUNTIF('Auction Inventory'!$B$2:$B$97,$A10)</f>
        <v>6</v>
      </c>
      <c r="C10" s="24" t="n">
        <f aca="false">SUMIF('Auction Inventory'!$B$2:$B$97,$A10,'Auction Inventory'!$E$2:$E$97)</f>
        <v>510</v>
      </c>
      <c r="D10" s="12" t="n">
        <f aca="false">SUMIF('Auction Inventory'!$B$2:$B$97,$A10,'Auction Inventory'!$H$2:$H$97)</f>
        <v>178920</v>
      </c>
      <c r="E10" s="12" t="n">
        <f aca="false">D10*Assumptions!$B$4</f>
        <v>3578.4</v>
      </c>
      <c r="F10" s="12" t="n">
        <f aca="false">D10+E10</f>
        <v>182498.4</v>
      </c>
      <c r="G10" s="12" t="n">
        <f aca="false">IF(C10=0,"",F10/C10)</f>
        <v>357.84</v>
      </c>
    </row>
    <row r="11" customFormat="false" ht="15" hidden="false" customHeight="false" outlineLevel="0" collapsed="false">
      <c r="A11" s="15" t="s">
        <v>89</v>
      </c>
      <c r="B11" s="14" t="n">
        <f aca="false">COUNTIF('Auction Inventory'!$B$2:$B$97,$A11)</f>
        <v>5</v>
      </c>
      <c r="C11" s="25" t="n">
        <f aca="false">SUMIF('Auction Inventory'!$B$2:$B$97,$A11,'Auction Inventory'!$E$2:$E$97)</f>
        <v>418</v>
      </c>
      <c r="D11" s="17" t="n">
        <f aca="false">SUMIF('Auction Inventory'!$B$2:$B$97,$A11,'Auction Inventory'!$H$2:$H$97)</f>
        <v>106525</v>
      </c>
      <c r="E11" s="17" t="n">
        <f aca="false">D11*Assumptions!$B$4</f>
        <v>2130.5</v>
      </c>
      <c r="F11" s="17" t="n">
        <f aca="false">D11+E11</f>
        <v>108655.5</v>
      </c>
      <c r="G11" s="17" t="n">
        <f aca="false">IF(C11=0,"",F11/C11)</f>
        <v>259.941387559809</v>
      </c>
    </row>
    <row r="12" customFormat="false" ht="15" hidden="false" customHeight="false" outlineLevel="0" collapsed="false">
      <c r="A12" s="10" t="s">
        <v>95</v>
      </c>
      <c r="B12" s="9" t="n">
        <f aca="false">COUNTIF('Auction Inventory'!$B$2:$B$97,$A12)</f>
        <v>5</v>
      </c>
      <c r="C12" s="24" t="n">
        <f aca="false">SUMIF('Auction Inventory'!$B$2:$B$97,$A12,'Auction Inventory'!$E$2:$E$97)</f>
        <v>371</v>
      </c>
      <c r="D12" s="12" t="n">
        <f aca="false">SUMIF('Auction Inventory'!$B$2:$B$97,$A12,'Auction Inventory'!$H$2:$H$97)</f>
        <v>80290</v>
      </c>
      <c r="E12" s="12" t="n">
        <f aca="false">D12*Assumptions!$B$4</f>
        <v>1605.8</v>
      </c>
      <c r="F12" s="12" t="n">
        <f aca="false">D12+E12</f>
        <v>81895.8</v>
      </c>
      <c r="G12" s="12" t="n">
        <f aca="false">IF(C12=0,"",F12/C12)</f>
        <v>220.743396226415</v>
      </c>
    </row>
    <row r="13" customFormat="false" ht="15" hidden="false" customHeight="false" outlineLevel="0" collapsed="false">
      <c r="A13" s="15" t="s">
        <v>101</v>
      </c>
      <c r="B13" s="14" t="n">
        <f aca="false">COUNTIF('Auction Inventory'!$B$2:$B$97,$A13)</f>
        <v>6</v>
      </c>
      <c r="C13" s="25" t="n">
        <f aca="false">SUMIF('Auction Inventory'!$B$2:$B$97,$A13,'Auction Inventory'!$E$2:$E$97)</f>
        <v>858</v>
      </c>
      <c r="D13" s="17" t="n">
        <f aca="false">SUMIF('Auction Inventory'!$B$2:$B$97,$A13,'Auction Inventory'!$H$2:$H$97)</f>
        <v>184345</v>
      </c>
      <c r="E13" s="17" t="n">
        <f aca="false">D13*Assumptions!$B$4</f>
        <v>3686.9</v>
      </c>
      <c r="F13" s="17" t="n">
        <f aca="false">D13+E13</f>
        <v>188031.9</v>
      </c>
      <c r="G13" s="17" t="n">
        <f aca="false">IF(C13=0,"",F13/C13)</f>
        <v>219.151398601399</v>
      </c>
    </row>
    <row r="14" customFormat="false" ht="15" hidden="false" customHeight="false" outlineLevel="0" collapsed="false">
      <c r="A14" s="10" t="s">
        <v>108</v>
      </c>
      <c r="B14" s="9" t="n">
        <f aca="false">COUNTIF('Auction Inventory'!$B$2:$B$97,$A14)</f>
        <v>4</v>
      </c>
      <c r="C14" s="24" t="n">
        <f aca="false">SUMIF('Auction Inventory'!$B$2:$B$97,$A14,'Auction Inventory'!$E$2:$E$97)</f>
        <v>524</v>
      </c>
      <c r="D14" s="12" t="n">
        <f aca="false">SUMIF('Auction Inventory'!$B$2:$B$97,$A14,'Auction Inventory'!$H$2:$H$97)</f>
        <v>120701</v>
      </c>
      <c r="E14" s="12" t="n">
        <f aca="false">D14*Assumptions!$B$4</f>
        <v>2414.02</v>
      </c>
      <c r="F14" s="12" t="n">
        <f aca="false">D14+E14</f>
        <v>123115.02</v>
      </c>
      <c r="G14" s="12" t="n">
        <f aca="false">IF(C14=0,"",F14/C14)</f>
        <v>234.952328244275</v>
      </c>
    </row>
    <row r="15" customFormat="false" ht="15" hidden="false" customHeight="false" outlineLevel="0" collapsed="false">
      <c r="A15" s="15" t="s">
        <v>113</v>
      </c>
      <c r="B15" s="14" t="n">
        <f aca="false">COUNTIF('Auction Inventory'!$B$2:$B$97,$A15)</f>
        <v>4</v>
      </c>
      <c r="C15" s="25" t="n">
        <f aca="false">SUMIF('Auction Inventory'!$B$2:$B$97,$A15,'Auction Inventory'!$E$2:$E$97)</f>
        <v>502</v>
      </c>
      <c r="D15" s="17" t="n">
        <f aca="false">SUMIF('Auction Inventory'!$B$2:$B$97,$A15,'Auction Inventory'!$H$2:$H$97)</f>
        <v>105335</v>
      </c>
      <c r="E15" s="17" t="n">
        <f aca="false">D15*Assumptions!$B$4</f>
        <v>2106.7</v>
      </c>
      <c r="F15" s="17" t="n">
        <f aca="false">D15+E15</f>
        <v>107441.7</v>
      </c>
      <c r="G15" s="17" t="n">
        <f aca="false">IF(C15=0,"",F15/C15)</f>
        <v>214.027290836653</v>
      </c>
    </row>
    <row r="16" customFormat="false" ht="15" hidden="false" customHeight="false" outlineLevel="0" collapsed="false">
      <c r="A16" s="10" t="s">
        <v>118</v>
      </c>
      <c r="B16" s="9" t="n">
        <f aca="false">COUNTIF('Auction Inventory'!$B$2:$B$97,$A16)</f>
        <v>5</v>
      </c>
      <c r="C16" s="24" t="n">
        <f aca="false">SUMIF('Auction Inventory'!$B$2:$B$97,$A16,'Auction Inventory'!$E$2:$E$97)</f>
        <v>397</v>
      </c>
      <c r="D16" s="12" t="n">
        <f aca="false">SUMIF('Auction Inventory'!$B$2:$B$97,$A16,'Auction Inventory'!$H$2:$H$97)</f>
        <v>62275</v>
      </c>
      <c r="E16" s="12" t="n">
        <f aca="false">D16*Assumptions!$B$4</f>
        <v>1245.5</v>
      </c>
      <c r="F16" s="12" t="n">
        <f aca="false">D16+E16</f>
        <v>63520.5</v>
      </c>
      <c r="G16" s="12" t="n">
        <f aca="false">IF(C16=0,"",F16/C16)</f>
        <v>160.001259445844</v>
      </c>
    </row>
    <row r="17" customFormat="false" ht="15" hidden="false" customHeight="false" outlineLevel="0" collapsed="false">
      <c r="A17" s="15" t="s">
        <v>124</v>
      </c>
      <c r="B17" s="14" t="n">
        <f aca="false">COUNTIF('Auction Inventory'!$B$2:$B$97,$A17)</f>
        <v>4</v>
      </c>
      <c r="C17" s="25" t="n">
        <f aca="false">SUMIF('Auction Inventory'!$B$2:$B$97,$A17,'Auction Inventory'!$E$2:$E$97)</f>
        <v>541</v>
      </c>
      <c r="D17" s="17" t="n">
        <f aca="false">SUMIF('Auction Inventory'!$B$2:$B$97,$A17,'Auction Inventory'!$H$2:$H$97)</f>
        <v>80470</v>
      </c>
      <c r="E17" s="17" t="n">
        <f aca="false">D17*Assumptions!$B$4</f>
        <v>1609.4</v>
      </c>
      <c r="F17" s="17" t="n">
        <f aca="false">D17+E17</f>
        <v>82079.4</v>
      </c>
      <c r="G17" s="17" t="n">
        <f aca="false">IF(C17=0,"",F17/C17)</f>
        <v>151.717929759704</v>
      </c>
    </row>
    <row r="18" customFormat="false" ht="15" hidden="false" customHeight="false" outlineLevel="0" collapsed="false">
      <c r="A18" s="10" t="s">
        <v>129</v>
      </c>
      <c r="B18" s="9" t="n">
        <f aca="false">COUNTIF('Auction Inventory'!$B$2:$B$97,$A18)</f>
        <v>3</v>
      </c>
      <c r="C18" s="24" t="n">
        <f aca="false">SUMIF('Auction Inventory'!$B$2:$B$97,$A18,'Auction Inventory'!$E$2:$E$97)</f>
        <v>517</v>
      </c>
      <c r="D18" s="12" t="n">
        <f aca="false">SUMIF('Auction Inventory'!$B$2:$B$97,$A18,'Auction Inventory'!$H$2:$H$97)</f>
        <v>113470</v>
      </c>
      <c r="E18" s="12" t="n">
        <f aca="false">D18*Assumptions!$B$4</f>
        <v>2269.4</v>
      </c>
      <c r="F18" s="12" t="n">
        <f aca="false">D18+E18</f>
        <v>115739.4</v>
      </c>
      <c r="G18" s="12" t="n">
        <f aca="false">IF(C18=0,"",F18/C18)</f>
        <v>223.867311411992</v>
      </c>
    </row>
    <row r="19" customFormat="false" ht="15" hidden="false" customHeight="false" outlineLevel="0" collapsed="false">
      <c r="A19" s="15" t="s">
        <v>133</v>
      </c>
      <c r="B19" s="14" t="n">
        <f aca="false">COUNTIF('Auction Inventory'!$B$2:$B$97,$A19)</f>
        <v>3</v>
      </c>
      <c r="C19" s="25" t="n">
        <f aca="false">SUMIF('Auction Inventory'!$B$2:$B$97,$A19,'Auction Inventory'!$E$2:$E$97)</f>
        <v>474</v>
      </c>
      <c r="D19" s="17" t="n">
        <f aca="false">SUMIF('Auction Inventory'!$B$2:$B$97,$A19,'Auction Inventory'!$H$2:$H$97)</f>
        <v>85450</v>
      </c>
      <c r="E19" s="17" t="n">
        <f aca="false">D19*Assumptions!$B$4</f>
        <v>1709</v>
      </c>
      <c r="F19" s="17" t="n">
        <f aca="false">D19+E19</f>
        <v>87159</v>
      </c>
      <c r="G19" s="17" t="n">
        <f aca="false">IF(C19=0,"",F19/C19)</f>
        <v>183.879746835443</v>
      </c>
    </row>
    <row r="20" customFormat="false" ht="15" hidden="false" customHeight="false" outlineLevel="0" collapsed="false">
      <c r="A20" s="10" t="s">
        <v>138</v>
      </c>
      <c r="B20" s="9" t="n">
        <f aca="false">COUNTIF('Auction Inventory'!$B$2:$B$97,$A20)</f>
        <v>5</v>
      </c>
      <c r="C20" s="24" t="n">
        <f aca="false">SUMIF('Auction Inventory'!$B$2:$B$97,$A20,'Auction Inventory'!$E$2:$E$97)</f>
        <v>796</v>
      </c>
      <c r="D20" s="12" t="n">
        <f aca="false">SUMIF('Auction Inventory'!$B$2:$B$97,$A20,'Auction Inventory'!$H$2:$H$97)</f>
        <v>116255</v>
      </c>
      <c r="E20" s="12" t="n">
        <f aca="false">D20*Assumptions!$B$4</f>
        <v>2325.1</v>
      </c>
      <c r="F20" s="12" t="n">
        <f aca="false">D20+E20</f>
        <v>118580.1</v>
      </c>
      <c r="G20" s="12" t="n">
        <f aca="false">IF(C20=0,"",F20/C20)</f>
        <v>148.969974874372</v>
      </c>
    </row>
    <row r="21" customFormat="false" ht="15" hidden="false" customHeight="false" outlineLevel="0" collapsed="false">
      <c r="A21" s="15" t="s">
        <v>144</v>
      </c>
      <c r="B21" s="14" t="n">
        <f aca="false">COUNTIF('Auction Inventory'!$B$2:$B$97,$A21)</f>
        <v>3</v>
      </c>
      <c r="C21" s="25" t="n">
        <f aca="false">SUMIF('Auction Inventory'!$B$2:$B$97,$A21,'Auction Inventory'!$E$2:$E$97)</f>
        <v>305</v>
      </c>
      <c r="D21" s="17" t="n">
        <f aca="false">SUMIF('Auction Inventory'!$B$2:$B$97,$A21,'Auction Inventory'!$H$2:$H$97)</f>
        <v>31100</v>
      </c>
      <c r="E21" s="17" t="n">
        <f aca="false">D21*Assumptions!$B$4</f>
        <v>622</v>
      </c>
      <c r="F21" s="17" t="n">
        <f aca="false">D21+E21</f>
        <v>31722</v>
      </c>
      <c r="G21" s="17" t="n">
        <f aca="false">IF(C21=0,"",F21/C21)</f>
        <v>104.006557377049</v>
      </c>
    </row>
    <row r="22" customFormat="false" ht="15" hidden="false" customHeight="false" outlineLevel="0" collapsed="false">
      <c r="A22" s="10" t="s">
        <v>148</v>
      </c>
      <c r="B22" s="9" t="n">
        <f aca="false">COUNTIF('Auction Inventory'!$B$2:$B$97,$A22)</f>
        <v>2</v>
      </c>
      <c r="C22" s="24" t="n">
        <f aca="false">SUMIF('Auction Inventory'!$B$2:$B$97,$A22,'Auction Inventory'!$E$2:$E$97)</f>
        <v>328</v>
      </c>
      <c r="D22" s="12" t="n">
        <f aca="false">SUMIF('Auction Inventory'!$B$2:$B$97,$A22,'Auction Inventory'!$H$2:$H$97)</f>
        <v>60975</v>
      </c>
      <c r="E22" s="12" t="n">
        <f aca="false">D22*Assumptions!$B$4</f>
        <v>1219.5</v>
      </c>
      <c r="F22" s="12" t="n">
        <f aca="false">D22+E22</f>
        <v>62194.5</v>
      </c>
      <c r="G22" s="12" t="n">
        <f aca="false">IF(C22=0,"",F22/C22)</f>
        <v>189.617378048781</v>
      </c>
    </row>
    <row r="23" customFormat="false" ht="15" hidden="false" customHeight="false" outlineLevel="0" collapsed="false">
      <c r="A23" s="15" t="s">
        <v>151</v>
      </c>
      <c r="B23" s="14" t="n">
        <f aca="false">COUNTIF('Auction Inventory'!$B$2:$B$97,$A23)</f>
        <v>2</v>
      </c>
      <c r="C23" s="25" t="n">
        <f aca="false">SUMIF('Auction Inventory'!$B$2:$B$97,$A23,'Auction Inventory'!$E$2:$E$97)</f>
        <v>438</v>
      </c>
      <c r="D23" s="17" t="n">
        <f aca="false">SUMIF('Auction Inventory'!$B$2:$B$97,$A23,'Auction Inventory'!$H$2:$H$97)</f>
        <v>38555</v>
      </c>
      <c r="E23" s="17" t="n">
        <f aca="false">D23*Assumptions!$B$4</f>
        <v>771.1</v>
      </c>
      <c r="F23" s="17" t="n">
        <f aca="false">D23+E23</f>
        <v>39326.1</v>
      </c>
      <c r="G23" s="17" t="n">
        <f aca="false">IF(C23=0,"",F23/C23)</f>
        <v>89.7856164383562</v>
      </c>
    </row>
    <row r="24" customFormat="false" ht="15" hidden="false" customHeight="false" outlineLevel="0" collapsed="false">
      <c r="A24" s="10" t="s">
        <v>155</v>
      </c>
      <c r="B24" s="9" t="n">
        <f aca="false">COUNTIF('Auction Inventory'!$B$2:$B$97,$A24)</f>
        <v>1</v>
      </c>
      <c r="C24" s="24" t="n">
        <f aca="false">SUMIF('Auction Inventory'!$B$2:$B$97,$A24,'Auction Inventory'!$E$2:$E$97)</f>
        <v>20</v>
      </c>
      <c r="D24" s="12" t="n">
        <f aca="false">SUMIF('Auction Inventory'!$B$2:$B$97,$A24,'Auction Inventory'!$H$2:$H$97)</f>
        <v>1300</v>
      </c>
      <c r="E24" s="12" t="n">
        <f aca="false">D24*Assumptions!$B$4</f>
        <v>26</v>
      </c>
      <c r="F24" s="12" t="n">
        <f aca="false">D24+E24</f>
        <v>1326</v>
      </c>
      <c r="G24" s="12" t="n">
        <f aca="false">IF(C24=0,"",F24/C24)</f>
        <v>66.3</v>
      </c>
    </row>
    <row r="25" customFormat="false" ht="15" hidden="false" customHeight="false" outlineLevel="0" collapsed="false">
      <c r="A25" s="15" t="s">
        <v>157</v>
      </c>
      <c r="B25" s="14" t="n">
        <f aca="false">COUNTIF('Auction Inventory'!$B$2:$B$97,$A25)</f>
        <v>2</v>
      </c>
      <c r="C25" s="25" t="n">
        <f aca="false">SUMIF('Auction Inventory'!$B$2:$B$97,$A25,'Auction Inventory'!$E$2:$E$97)</f>
        <v>40</v>
      </c>
      <c r="D25" s="17" t="n">
        <f aca="false">SUMIF('Auction Inventory'!$B$2:$B$97,$A25,'Auction Inventory'!$H$2:$H$97)</f>
        <v>4825</v>
      </c>
      <c r="E25" s="17" t="n">
        <f aca="false">D25*Assumptions!$B$4</f>
        <v>96.5</v>
      </c>
      <c r="F25" s="17" t="n">
        <f aca="false">D25+E25</f>
        <v>4921.5</v>
      </c>
      <c r="G25" s="17" t="n">
        <f aca="false">IF(C25=0,"",F25/C25)</f>
        <v>123.0375</v>
      </c>
    </row>
    <row r="26" customFormat="false" ht="15" hidden="false" customHeight="false" outlineLevel="0" collapsed="false">
      <c r="A26" s="10" t="s">
        <v>160</v>
      </c>
      <c r="B26" s="9" t="n">
        <f aca="false">COUNTIF('Auction Inventory'!$B$2:$B$97,$A26)</f>
        <v>2</v>
      </c>
      <c r="C26" s="24" t="n">
        <f aca="false">SUMIF('Auction Inventory'!$B$2:$B$97,$A26,'Auction Inventory'!$E$2:$E$97)</f>
        <v>40</v>
      </c>
      <c r="D26" s="12" t="n">
        <f aca="false">SUMIF('Auction Inventory'!$B$2:$B$97,$A26,'Auction Inventory'!$H$2:$H$97)</f>
        <v>4025</v>
      </c>
      <c r="E26" s="12" t="n">
        <f aca="false">D26*Assumptions!$B$4</f>
        <v>80.5</v>
      </c>
      <c r="F26" s="12" t="n">
        <f aca="false">D26+E26</f>
        <v>4105.5</v>
      </c>
      <c r="G26" s="12" t="n">
        <f aca="false">IF(C26=0,"",F26/C26)</f>
        <v>102.6375</v>
      </c>
    </row>
    <row r="27" customFormat="false" ht="15" hidden="false" customHeight="false" outlineLevel="0" collapsed="false">
      <c r="A27" s="15" t="s">
        <v>165</v>
      </c>
      <c r="B27" s="14" t="n">
        <f aca="false">COUNTIF('Auction Inventory'!$B$2:$B$97,$A27)</f>
        <v>5</v>
      </c>
      <c r="C27" s="25" t="n">
        <f aca="false">SUMIF('Auction Inventory'!$B$2:$B$97,$A27,'Auction Inventory'!$E$2:$E$97)</f>
        <v>490</v>
      </c>
      <c r="D27" s="17" t="n">
        <f aca="false">SUMIF('Auction Inventory'!$B$2:$B$97,$A27,'Auction Inventory'!$H$2:$H$97)</f>
        <v>38450</v>
      </c>
      <c r="E27" s="17" t="n">
        <f aca="false">D27*Assumptions!$B$4</f>
        <v>769</v>
      </c>
      <c r="F27" s="17" t="n">
        <f aca="false">D27+E27</f>
        <v>39219</v>
      </c>
      <c r="G27" s="17" t="n">
        <f aca="false">IF(C27=0,"",F27/C27)</f>
        <v>80.0387755102041</v>
      </c>
    </row>
    <row r="28" customFormat="false" ht="15" hidden="false" customHeight="false" outlineLevel="0" collapsed="false">
      <c r="A28" s="10" t="s">
        <v>177</v>
      </c>
      <c r="B28" s="9" t="n">
        <f aca="false">COUNTIF('Auction Inventory'!$B$2:$B$97,$A28)</f>
        <v>2</v>
      </c>
      <c r="C28" s="24" t="n">
        <f aca="false">SUMIF('Auction Inventory'!$B$2:$B$97,$A28,'Auction Inventory'!$E$2:$E$97)</f>
        <v>70</v>
      </c>
      <c r="D28" s="12" t="n">
        <f aca="false">SUMIF('Auction Inventory'!$B$2:$B$97,$A28,'Auction Inventory'!$H$2:$H$97)</f>
        <v>2075</v>
      </c>
      <c r="E28" s="12" t="n">
        <f aca="false">D28*Assumptions!$B$4</f>
        <v>41.5</v>
      </c>
      <c r="F28" s="12" t="n">
        <f aca="false">D28+E28</f>
        <v>2116.5</v>
      </c>
      <c r="G28" s="12" t="n">
        <f aca="false">IF(C28=0,"",F28/C28)</f>
        <v>30.2357142857143</v>
      </c>
    </row>
    <row r="29" customFormat="false" ht="15" hidden="false" customHeight="false" outlineLevel="0" collapsed="false">
      <c r="A29" s="15" t="s">
        <v>172</v>
      </c>
      <c r="B29" s="14" t="n">
        <f aca="false">COUNTIF('Auction Inventory'!$B$2:$B$97,$A29)</f>
        <v>3</v>
      </c>
      <c r="C29" s="25" t="n">
        <f aca="false">SUMIF('Auction Inventory'!$B$2:$B$97,$A29,'Auction Inventory'!$E$2:$E$97)</f>
        <v>332</v>
      </c>
      <c r="D29" s="17" t="n">
        <f aca="false">SUMIF('Auction Inventory'!$B$2:$B$97,$A29,'Auction Inventory'!$H$2:$H$97)</f>
        <v>14450</v>
      </c>
      <c r="E29" s="17" t="n">
        <f aca="false">D29*Assumptions!$B$4</f>
        <v>289</v>
      </c>
      <c r="F29" s="17" t="n">
        <f aca="false">D29+E29</f>
        <v>14739</v>
      </c>
      <c r="G29" s="17" t="n">
        <f aca="false">IF(C29=0,"",F29/C29)</f>
        <v>44.394578313253</v>
      </c>
    </row>
    <row r="30" customFormat="false" ht="15" hidden="false" customHeight="false" outlineLevel="0" collapsed="false">
      <c r="A30" s="10" t="s">
        <v>182</v>
      </c>
      <c r="B30" s="9" t="n">
        <f aca="false">COUNTIF('Auction Inventory'!$B$2:$B$97,$A30)</f>
        <v>1</v>
      </c>
      <c r="C30" s="24" t="n">
        <f aca="false">SUMIF('Auction Inventory'!$B$2:$B$97,$A30,'Auction Inventory'!$E$2:$E$97)</f>
        <v>35</v>
      </c>
      <c r="D30" s="12" t="n">
        <f aca="false">SUMIF('Auction Inventory'!$B$2:$B$97,$A30,'Auction Inventory'!$H$2:$H$97)</f>
        <v>1225</v>
      </c>
      <c r="E30" s="12" t="n">
        <f aca="false">D30*Assumptions!$B$4</f>
        <v>24.5</v>
      </c>
      <c r="F30" s="12" t="n">
        <f aca="false">D30+E30</f>
        <v>1249.5</v>
      </c>
      <c r="G30" s="12" t="n">
        <f aca="false">IF(C30=0,"",F30/C30)</f>
        <v>35.7</v>
      </c>
    </row>
    <row r="31" customFormat="false" ht="15" hidden="false" customHeight="false" outlineLevel="0" collapsed="false">
      <c r="A31" s="15" t="s">
        <v>180</v>
      </c>
      <c r="B31" s="14" t="n">
        <f aca="false">COUNTIF('Auction Inventory'!$B$2:$B$97,$A31)</f>
        <v>1</v>
      </c>
      <c r="C31" s="25" t="n">
        <f aca="false">SUMIF('Auction Inventory'!$B$2:$B$97,$A31,'Auction Inventory'!$E$2:$E$97)</f>
        <v>30</v>
      </c>
      <c r="D31" s="17" t="n">
        <f aca="false">SUMIF('Auction Inventory'!$B$2:$B$97,$A31,'Auction Inventory'!$H$2:$H$97)</f>
        <v>2670</v>
      </c>
      <c r="E31" s="17" t="n">
        <f aca="false">D31*Assumptions!$B$4</f>
        <v>53.4</v>
      </c>
      <c r="F31" s="17" t="n">
        <f aca="false">D31+E31</f>
        <v>2723.4</v>
      </c>
      <c r="G31" s="17" t="n">
        <f aca="false">IF(C31=0,"",F31/C31)</f>
        <v>90.78</v>
      </c>
    </row>
    <row r="32" customFormat="false" ht="15" hidden="false" customHeight="false" outlineLevel="0" collapsed="false">
      <c r="A32" s="10" t="s">
        <v>184</v>
      </c>
      <c r="B32" s="9" t="n">
        <f aca="false">COUNTIF('Auction Inventory'!$B$2:$B$97,$A32)</f>
        <v>1</v>
      </c>
      <c r="C32" s="24" t="n">
        <f aca="false">SUMIF('Auction Inventory'!$B$2:$B$97,$A32,'Auction Inventory'!$E$2:$E$97)</f>
        <v>50</v>
      </c>
      <c r="D32" s="12" t="n">
        <f aca="false">SUMIF('Auction Inventory'!$B$2:$B$97,$A32,'Auction Inventory'!$H$2:$H$97)</f>
        <v>610</v>
      </c>
      <c r="E32" s="12" t="n">
        <f aca="false">D32*Assumptions!$B$4</f>
        <v>12.2</v>
      </c>
      <c r="F32" s="12" t="n">
        <f aca="false">D32+E32</f>
        <v>622.2</v>
      </c>
      <c r="G32" s="12" t="n">
        <f aca="false">IF(C32=0,"",F32/C32)</f>
        <v>12.444</v>
      </c>
    </row>
    <row r="33" customFormat="false" ht="15" hidden="false" customHeight="false" outlineLevel="0" collapsed="false">
      <c r="A33" s="21" t="s">
        <v>186</v>
      </c>
      <c r="B33" s="21" t="n">
        <f aca="false">SUM(B2:B32)</f>
        <v>96</v>
      </c>
      <c r="C33" s="20" t="n">
        <f aca="false">SUM(C2:C32)</f>
        <v>8732</v>
      </c>
      <c r="D33" s="22" t="n">
        <f aca="false">SUM(D2:D32)</f>
        <v>1686225</v>
      </c>
      <c r="E33" s="22" t="n">
        <f aca="false">SUM(E2:E32)</f>
        <v>33724.5</v>
      </c>
      <c r="F33" s="22" t="n">
        <f aca="false">SUM(F2:F32)</f>
        <v>1719949.5</v>
      </c>
      <c r="G33" s="22" t="n">
        <f aca="false">IF(C33=0,"",F33/C33)</f>
        <v>196.970854328905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24"/>
    <col collapsed="false" customWidth="true" hidden="false" outlineLevel="0" max="2" min="2" style="1" width="8"/>
    <col collapsed="false" customWidth="true" hidden="false" outlineLevel="0" max="3" min="3" style="1" width="10"/>
    <col collapsed="false" customWidth="true" hidden="false" outlineLevel="0" max="4" min="4" style="1" width="18"/>
    <col collapsed="false" customWidth="true" hidden="false" outlineLevel="0" max="5" min="5" style="1" width="14"/>
    <col collapsed="false" customWidth="true" hidden="false" outlineLevel="0" max="6" min="6" style="1" width="19"/>
    <col collapsed="false" customWidth="true" hidden="false" outlineLevel="0" max="7" min="7" style="1" width="20"/>
  </cols>
  <sheetData>
    <row r="1" customFormat="false" ht="30" hidden="false" customHeight="true" outlineLevel="0" collapsed="false">
      <c r="A1" s="8" t="s">
        <v>24</v>
      </c>
      <c r="B1" s="8" t="s">
        <v>189</v>
      </c>
      <c r="C1" s="8" t="s">
        <v>25</v>
      </c>
      <c r="D1" s="8" t="s">
        <v>190</v>
      </c>
      <c r="E1" s="8" t="s">
        <v>30</v>
      </c>
      <c r="F1" s="8" t="s">
        <v>31</v>
      </c>
      <c r="G1" s="8" t="s">
        <v>191</v>
      </c>
    </row>
    <row r="2" customFormat="false" ht="15" hidden="false" customHeight="false" outlineLevel="0" collapsed="false">
      <c r="A2" s="10" t="s">
        <v>46</v>
      </c>
      <c r="B2" s="9" t="n">
        <f aca="false">COUNTIF('Auction Inventory'!$D$2:$D$97,$A2)</f>
        <v>19</v>
      </c>
      <c r="C2" s="24" t="n">
        <f aca="false">SUMIF('Auction Inventory'!$D$2:$D$97,$A2,'Auction Inventory'!$E$2:$E$97)</f>
        <v>402</v>
      </c>
      <c r="D2" s="12" t="n">
        <f aca="false">SUMIF('Auction Inventory'!$D$2:$D$97,$A2,'Auction Inventory'!$H$2:$H$97)</f>
        <v>121020</v>
      </c>
      <c r="E2" s="12" t="n">
        <f aca="false">D2*Assumptions!$B$4</f>
        <v>2420.4</v>
      </c>
      <c r="F2" s="12" t="n">
        <f aca="false">D2+E2</f>
        <v>123440.4</v>
      </c>
      <c r="G2" s="12" t="n">
        <f aca="false">IF(C2=0,"",F2/C2)</f>
        <v>307.065671641791</v>
      </c>
    </row>
    <row r="3" customFormat="false" ht="15" hidden="false" customHeight="false" outlineLevel="0" collapsed="false">
      <c r="A3" s="15" t="s">
        <v>170</v>
      </c>
      <c r="B3" s="14" t="n">
        <f aca="false">COUNTIF('Auction Inventory'!$D$2:$D$97,$A3)</f>
        <v>1</v>
      </c>
      <c r="C3" s="25" t="n">
        <f aca="false">SUMIF('Auction Inventory'!$D$2:$D$97,$A3,'Auction Inventory'!$E$2:$E$97)</f>
        <v>30</v>
      </c>
      <c r="D3" s="17" t="n">
        <f aca="false">SUMIF('Auction Inventory'!$D$2:$D$97,$A3,'Auction Inventory'!$H$2:$H$97)</f>
        <v>2550</v>
      </c>
      <c r="E3" s="17" t="n">
        <f aca="false">D3*Assumptions!$B$4</f>
        <v>51</v>
      </c>
      <c r="F3" s="17" t="n">
        <f aca="false">D3+E3</f>
        <v>2601</v>
      </c>
      <c r="G3" s="17" t="n">
        <f aca="false">IF(C3=0,"",F3/C3)</f>
        <v>86.7</v>
      </c>
    </row>
    <row r="4" customFormat="false" ht="15" hidden="false" customHeight="false" outlineLevel="0" collapsed="false">
      <c r="A4" s="10" t="s">
        <v>51</v>
      </c>
      <c r="B4" s="9" t="n">
        <f aca="false">COUNTIF('Auction Inventory'!$D$2:$D$97,$A4)</f>
        <v>27</v>
      </c>
      <c r="C4" s="24" t="n">
        <f aca="false">SUMIF('Auction Inventory'!$D$2:$D$97,$A4,'Auction Inventory'!$E$2:$E$97)</f>
        <v>1323</v>
      </c>
      <c r="D4" s="12" t="n">
        <f aca="false">SUMIF('Auction Inventory'!$D$2:$D$97,$A4,'Auction Inventory'!$H$2:$H$97)</f>
        <v>277515</v>
      </c>
      <c r="E4" s="12" t="n">
        <f aca="false">D4*Assumptions!$B$4</f>
        <v>5550.3</v>
      </c>
      <c r="F4" s="12" t="n">
        <f aca="false">D4+E4</f>
        <v>283065.3</v>
      </c>
      <c r="G4" s="12" t="n">
        <f aca="false">IF(C4=0,"",F4/C4)</f>
        <v>213.957142857143</v>
      </c>
    </row>
    <row r="5" customFormat="false" ht="15" hidden="false" customHeight="false" outlineLevel="0" collapsed="false">
      <c r="A5" s="15" t="s">
        <v>174</v>
      </c>
      <c r="B5" s="14" t="n">
        <f aca="false">COUNTIF('Auction Inventory'!$D$2:$D$97,$A5)</f>
        <v>2</v>
      </c>
      <c r="C5" s="25" t="n">
        <f aca="false">SUMIF('Auction Inventory'!$D$2:$D$97,$A5,'Auction Inventory'!$E$2:$E$97)</f>
        <v>90</v>
      </c>
      <c r="D5" s="17" t="n">
        <f aca="false">SUMIF('Auction Inventory'!$D$2:$D$97,$A5,'Auction Inventory'!$H$2:$H$97)</f>
        <v>2210</v>
      </c>
      <c r="E5" s="17" t="n">
        <f aca="false">D5*Assumptions!$B$4</f>
        <v>44.2</v>
      </c>
      <c r="F5" s="17" t="n">
        <f aca="false">D5+E5</f>
        <v>2254.2</v>
      </c>
      <c r="G5" s="17" t="n">
        <f aca="false">IF(C5=0,"",F5/C5)</f>
        <v>25.0466666666667</v>
      </c>
    </row>
    <row r="6" customFormat="false" ht="15" hidden="false" customHeight="false" outlineLevel="0" collapsed="false">
      <c r="A6" s="10" t="s">
        <v>58</v>
      </c>
      <c r="B6" s="9" t="n">
        <f aca="false">COUNTIF('Auction Inventory'!$D$2:$D$97,$A6)</f>
        <v>45</v>
      </c>
      <c r="C6" s="24" t="n">
        <f aca="false">SUMIF('Auction Inventory'!$D$2:$D$97,$A6,'Auction Inventory'!$E$2:$E$97)</f>
        <v>6847</v>
      </c>
      <c r="D6" s="12" t="n">
        <f aca="false">SUMIF('Auction Inventory'!$D$2:$D$97,$A6,'Auction Inventory'!$H$2:$H$97)</f>
        <v>1255655</v>
      </c>
      <c r="E6" s="12" t="n">
        <f aca="false">D6*Assumptions!$B$4</f>
        <v>25113.1</v>
      </c>
      <c r="F6" s="12" t="n">
        <f aca="false">D6+E6</f>
        <v>1280768.1</v>
      </c>
      <c r="G6" s="12" t="n">
        <f aca="false">IF(C6=0,"",F6/C6)</f>
        <v>187.055367314152</v>
      </c>
    </row>
    <row r="7" customFormat="false" ht="15" hidden="false" customHeight="false" outlineLevel="0" collapsed="false">
      <c r="A7" s="15" t="s">
        <v>39</v>
      </c>
      <c r="B7" s="14" t="n">
        <f aca="false">COUNTIF('Auction Inventory'!$D$2:$D$97,$A7)</f>
        <v>2</v>
      </c>
      <c r="C7" s="25" t="n">
        <f aca="false">SUMIF('Auction Inventory'!$D$2:$D$97,$A7,'Auction Inventory'!$E$2:$E$97)</f>
        <v>40</v>
      </c>
      <c r="D7" s="17" t="n">
        <f aca="false">SUMIF('Auction Inventory'!$D$2:$D$97,$A7,'Auction Inventory'!$H$2:$H$97)</f>
        <v>27275</v>
      </c>
      <c r="E7" s="17" t="n">
        <f aca="false">D7*Assumptions!$B$4</f>
        <v>545.5</v>
      </c>
      <c r="F7" s="17" t="n">
        <f aca="false">D7+E7</f>
        <v>27820.5</v>
      </c>
      <c r="G7" s="17" t="n">
        <f aca="false">IF(C7=0,"",F7/C7)</f>
        <v>695.5125</v>
      </c>
    </row>
    <row r="8" customFormat="false" ht="15" hidden="false" customHeight="false" outlineLevel="0" collapsed="false">
      <c r="A8" s="21" t="s">
        <v>186</v>
      </c>
      <c r="B8" s="21" t="n">
        <f aca="false">SUM(B2:B7)</f>
        <v>96</v>
      </c>
      <c r="C8" s="20" t="n">
        <f aca="false">SUM(C2:C7)</f>
        <v>8732</v>
      </c>
      <c r="D8" s="22" t="n">
        <f aca="false">SUM(D2:D7)</f>
        <v>1686225</v>
      </c>
      <c r="E8" s="22" t="n">
        <f aca="false">SUM(E2:E7)</f>
        <v>33724.5</v>
      </c>
      <c r="F8" s="22" t="n">
        <f aca="false">SUM(F2:F7)</f>
        <v>1719949.5</v>
      </c>
      <c r="G8" s="22" t="n">
        <f aca="false">IF(C8=0,"",F8/C8)</f>
        <v>196.970854328905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24"/>
    <col collapsed="false" customWidth="true" hidden="false" outlineLevel="0" max="2" min="2" style="1" width="8"/>
    <col collapsed="false" customWidth="true" hidden="false" outlineLevel="0" max="3" min="3" style="1" width="10"/>
    <col collapsed="false" customWidth="true" hidden="false" outlineLevel="0" max="4" min="4" style="1" width="18"/>
    <col collapsed="false" customWidth="true" hidden="false" outlineLevel="0" max="5" min="5" style="1" width="14"/>
    <col collapsed="false" customWidth="true" hidden="false" outlineLevel="0" max="6" min="6" style="1" width="19"/>
    <col collapsed="false" customWidth="true" hidden="false" outlineLevel="0" max="7" min="7" style="1" width="20"/>
  </cols>
  <sheetData>
    <row r="1" customFormat="false" ht="30" hidden="false" customHeight="true" outlineLevel="0" collapsed="false">
      <c r="A1" s="8" t="s">
        <v>23</v>
      </c>
      <c r="B1" s="8" t="s">
        <v>189</v>
      </c>
      <c r="C1" s="8" t="s">
        <v>25</v>
      </c>
      <c r="D1" s="8" t="s">
        <v>190</v>
      </c>
      <c r="E1" s="8" t="s">
        <v>30</v>
      </c>
      <c r="F1" s="8" t="s">
        <v>31</v>
      </c>
      <c r="G1" s="8" t="s">
        <v>191</v>
      </c>
    </row>
    <row r="2" customFormat="false" ht="15" hidden="false" customHeight="false" outlineLevel="0" collapsed="false">
      <c r="A2" s="10" t="s">
        <v>72</v>
      </c>
      <c r="B2" s="9" t="n">
        <f aca="false">COUNTIF('Auction Inventory'!$C$2:$C$97,$A2)</f>
        <v>41</v>
      </c>
      <c r="C2" s="24" t="n">
        <f aca="false">SUMIF('Auction Inventory'!$C$2:$C$97,$A2,'Auction Inventory'!$E$2:$E$97)</f>
        <v>6097</v>
      </c>
      <c r="D2" s="12" t="n">
        <f aca="false">SUMIF('Auction Inventory'!$C$2:$C$97,$A2,'Auction Inventory'!$H$2:$H$97)</f>
        <v>1166355</v>
      </c>
      <c r="E2" s="12" t="n">
        <f aca="false">D2*Assumptions!$B$4</f>
        <v>23327.1</v>
      </c>
      <c r="F2" s="12" t="n">
        <f aca="false">D2+E2</f>
        <v>1189682.1</v>
      </c>
      <c r="G2" s="12" t="n">
        <f aca="false">IF(C2=0,"",F2/C2)</f>
        <v>195.12581597507</v>
      </c>
    </row>
    <row r="3" customFormat="false" ht="15" hidden="false" customHeight="false" outlineLevel="0" collapsed="false">
      <c r="A3" s="15" t="s">
        <v>61</v>
      </c>
      <c r="B3" s="14" t="n">
        <f aca="false">COUNTIF('Auction Inventory'!$C$2:$C$97,$A3)</f>
        <v>2</v>
      </c>
      <c r="C3" s="25" t="n">
        <f aca="false">SUMIF('Auction Inventory'!$C$2:$C$97,$A3,'Auction Inventory'!$E$2:$E$97)</f>
        <v>40</v>
      </c>
      <c r="D3" s="17" t="n">
        <f aca="false">SUMIF('Auction Inventory'!$C$2:$C$97,$A3,'Auction Inventory'!$H$2:$H$97)</f>
        <v>17000</v>
      </c>
      <c r="E3" s="17" t="n">
        <f aca="false">D3*Assumptions!$B$4</f>
        <v>340</v>
      </c>
      <c r="F3" s="17" t="n">
        <f aca="false">D3+E3</f>
        <v>17340</v>
      </c>
      <c r="G3" s="17" t="n">
        <f aca="false">IF(C3=0,"",F3/C3)</f>
        <v>433.5</v>
      </c>
    </row>
    <row r="4" customFormat="false" ht="15" hidden="false" customHeight="false" outlineLevel="0" collapsed="false">
      <c r="A4" s="10" t="s">
        <v>45</v>
      </c>
      <c r="B4" s="9" t="n">
        <f aca="false">COUNTIF('Auction Inventory'!$C$2:$C$97,$A4)</f>
        <v>24</v>
      </c>
      <c r="C4" s="24" t="n">
        <f aca="false">SUMIF('Auction Inventory'!$C$2:$C$97,$A4,'Auction Inventory'!$E$2:$E$97)</f>
        <v>870</v>
      </c>
      <c r="D4" s="12" t="n">
        <f aca="false">SUMIF('Auction Inventory'!$C$2:$C$97,$A4,'Auction Inventory'!$H$2:$H$97)</f>
        <v>297777</v>
      </c>
      <c r="E4" s="12" t="n">
        <f aca="false">D4*Assumptions!$B$4</f>
        <v>5955.54</v>
      </c>
      <c r="F4" s="12" t="n">
        <f aca="false">D4+E4</f>
        <v>303732.54</v>
      </c>
      <c r="G4" s="12" t="n">
        <f aca="false">IF(C4=0,"",F4/C4)</f>
        <v>349.117862068966</v>
      </c>
    </row>
    <row r="5" customFormat="false" ht="15" hidden="false" customHeight="false" outlineLevel="0" collapsed="false">
      <c r="A5" s="15" t="s">
        <v>38</v>
      </c>
      <c r="B5" s="14" t="n">
        <f aca="false">COUNTIF('Auction Inventory'!$C$2:$C$97,$A5)</f>
        <v>14</v>
      </c>
      <c r="C5" s="25" t="n">
        <f aca="false">SUMIF('Auction Inventory'!$C$2:$C$97,$A5,'Auction Inventory'!$E$2:$E$97)</f>
        <v>280</v>
      </c>
      <c r="D5" s="17" t="n">
        <f aca="false">SUMIF('Auction Inventory'!$C$2:$C$97,$A5,'Auction Inventory'!$H$2:$H$97)</f>
        <v>106633</v>
      </c>
      <c r="E5" s="17" t="n">
        <f aca="false">D5*Assumptions!$B$4</f>
        <v>2132.66</v>
      </c>
      <c r="F5" s="17" t="n">
        <f aca="false">D5+E5</f>
        <v>108765.66</v>
      </c>
      <c r="G5" s="17" t="n">
        <f aca="false">IF(C5=0,"",F5/C5)</f>
        <v>388.448785714286</v>
      </c>
    </row>
    <row r="6" customFormat="false" ht="15" hidden="false" customHeight="false" outlineLevel="0" collapsed="false">
      <c r="A6" s="10" t="s">
        <v>152</v>
      </c>
      <c r="B6" s="9" t="n">
        <f aca="false">COUNTIF('Auction Inventory'!$C$2:$C$97,$A6)</f>
        <v>8</v>
      </c>
      <c r="C6" s="24" t="n">
        <f aca="false">SUMIF('Auction Inventory'!$C$2:$C$97,$A6,'Auction Inventory'!$E$2:$E$97)</f>
        <v>1210</v>
      </c>
      <c r="D6" s="12" t="n">
        <f aca="false">SUMIF('Auction Inventory'!$C$2:$C$97,$A6,'Auction Inventory'!$H$2:$H$97)</f>
        <v>87530</v>
      </c>
      <c r="E6" s="12" t="n">
        <f aca="false">D6*Assumptions!$B$4</f>
        <v>1750.6</v>
      </c>
      <c r="F6" s="12" t="n">
        <f aca="false">D6+E6</f>
        <v>89280.6</v>
      </c>
      <c r="G6" s="12" t="n">
        <f aca="false">IF(C6=0,"",F6/C6)</f>
        <v>73.7856198347107</v>
      </c>
    </row>
    <row r="7" customFormat="false" ht="15" hidden="false" customHeight="false" outlineLevel="0" collapsed="false">
      <c r="A7" s="15" t="s">
        <v>162</v>
      </c>
      <c r="B7" s="14" t="n">
        <f aca="false">COUNTIF('Auction Inventory'!$C$2:$C$97,$A7)</f>
        <v>7</v>
      </c>
      <c r="C7" s="25" t="n">
        <f aca="false">SUMIF('Auction Inventory'!$C$2:$C$97,$A7,'Auction Inventory'!$E$2:$E$97)</f>
        <v>235</v>
      </c>
      <c r="D7" s="17" t="n">
        <f aca="false">SUMIF('Auction Inventory'!$C$2:$C$97,$A7,'Auction Inventory'!$H$2:$H$97)</f>
        <v>10930</v>
      </c>
      <c r="E7" s="17" t="n">
        <f aca="false">D7*Assumptions!$B$4</f>
        <v>218.6</v>
      </c>
      <c r="F7" s="17" t="n">
        <f aca="false">D7+E7</f>
        <v>11148.6</v>
      </c>
      <c r="G7" s="17" t="n">
        <f aca="false">IF(C7=0,"",F7/C7)</f>
        <v>47.4408510638298</v>
      </c>
    </row>
    <row r="8" customFormat="false" ht="15" hidden="false" customHeight="false" outlineLevel="0" collapsed="false">
      <c r="A8" s="21" t="s">
        <v>186</v>
      </c>
      <c r="B8" s="21" t="n">
        <f aca="false">SUM(B2:B7)</f>
        <v>96</v>
      </c>
      <c r="C8" s="20" t="n">
        <f aca="false">SUM(C2:C7)</f>
        <v>8732</v>
      </c>
      <c r="D8" s="22" t="n">
        <f aca="false">SUM(D2:D7)</f>
        <v>1686225</v>
      </c>
      <c r="E8" s="22" t="n">
        <f aca="false">SUM(E2:E7)</f>
        <v>33724.5</v>
      </c>
      <c r="F8" s="22" t="n">
        <f aca="false">SUM(F2:F7)</f>
        <v>1719949.5</v>
      </c>
      <c r="G8" s="22" t="n">
        <f aca="false">IF(C8=0,"",F8/C8)</f>
        <v>196.970854328905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2026-08-02T07:04:01Z</dcterms:created>
  <dc:creator>openpyxl</dc:creator>
  <dc:description/>
  <dc:language>en-US</dc:language>
  <cp:lastModifiedBy/>
  <dcterms:modified xsi:type="dcterms:W3CDTF">2026-08-02T07:04:01Z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