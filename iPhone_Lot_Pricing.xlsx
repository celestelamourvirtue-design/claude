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uction Inventory" sheetId="2" state="visible" r:id="rId4"/>
    <sheet name="Profit Potential" sheetId="3" state="visible" r:id="rId5"/>
    <sheet name="Summary by Model" sheetId="4" state="visible" r:id="rId6"/>
    <sheet name="Summary by Grade" sheetId="5" state="visible" r:id="rId7"/>
    <sheet name="Summary by Storage" sheetId="6" state="visible" r:id="rId8"/>
    <sheet name="eBay Comps" sheetId="7" state="visible" r:id="rId9"/>
    <sheet name="SellCell Cashout" sheetId="8" state="visible" r:id="rId10"/>
  </sheets>
  <definedNames>
    <definedName function="false" hidden="true" localSheetId="1" name="_xlnm._FilterDatabase" vbProcedure="false">'Auction Inventory'!$A$1:$P$97</definedName>
    <definedName function="false" hidden="true" localSheetId="6" name="_xlnm._FilterDatabase" vbProcedure="false">'eBay Comps'!$A$1:$H$423</definedName>
    <definedName function="false" hidden="true" localSheetId="2" name="_xlnm._FilterDatabase" vbProcedure="false">'Profit Potential'!$A$1:$Z$97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<sst xmlns="http://schemas.openxmlformats.org/spreadsheetml/2006/main" count="4550" uniqueCount="792">
  <si>
    <t xml:space="preserve">Superior Wireless Auctions (B-Stock) — iPhone Lot Pricing</t>
  </si>
  <si>
    <t xml:space="preserve">&lt;-- Blue text on yellow = the only cell you edit. All totals recalculate from it.</t>
  </si>
  <si>
    <t xml:space="preserve">eBay selling fee applied to eBay resale prices</t>
  </si>
  <si>
    <t xml:space="preserve">&lt;-- 0% = gross resale, as requested. Set to ~13% to model real eBay fees.</t>
  </si>
  <si>
    <t xml:space="preserve">HOW THE NUMBERS ARE BUILT</t>
  </si>
  <si>
    <t xml:space="preserve">    Bulk Price          = the lot's Current bid on the auction page (what the lot costs at that bid).</t>
  </si>
  <si>
    <t xml:space="preserve">    Fee @ 2%            = Bulk Price x 2%.</t>
  </si>
  <si>
    <t xml:space="preserve">    Total Excl. Shipping = Bulk Price + Fee. Excludes shipping, tax, and any other charges.</t>
  </si>
  <si>
    <t xml:space="preserve">    Cost Per Unit       = Total Excl. Shipping / Units.</t>
  </si>
  <si>
    <t xml:space="preserve">ASSUMPTIONS AND CAVEATS</t>
  </si>
  <si>
    <t xml:space="preserve">    1. "Multiply bulk price by 2%" is read as a 2% buyer fee ADDED to the bulk price.</t>
  </si>
  <si>
    <t xml:space="preserve">       The standalone 2% amount is also shown in its own column if you meant the fee alone.</t>
  </si>
  <si>
    <t xml:space="preserve">    2. Source page shows lots 1-96 of 208 (page 1 of 3). Pages 2 and 3 are NOT in this file.</t>
  </si>
  <si>
    <t xml:space="preserve">    3. These are LIVE auctions. Current bid rises with each new bid, so every price here is a</t>
  </si>
  <si>
    <t xml:space="preserve">       snapshot from the saved page, not a settled cost.</t>
  </si>
  <si>
    <t xml:space="preserve">    4. Shipping is excluded, per request. B-Stock lots ship from Dallas, TX.</t>
  </si>
  <si>
    <t xml:space="preserve">    5. Grade is taken verbatim from the lot title (New, A, A/B, B, B/C, C).</t>
  </si>
  <si>
    <t xml:space="preserve">    6. Lots titled "Mixed Carrier" or with no storage in the title are marked</t>
  </si>
  <si>
    <t xml:space="preserve">       "Mixed / Not specified" — open the auction link for the manifest.</t>
  </si>
  <si>
    <t xml:space="preserve">SOURCE</t>
  </si>
  <si>
    <t xml:space="preserve">    Superior Wireless Auction - Smartphone Liquidation | B-Stock</t>
  </si>
  <si>
    <t xml:space="preserve">    https://bstock.com/superior/cell-phones/?limit=96</t>
  </si>
  <si>
    <t xml:space="preserve">    Saved page supplied by user; captured 2026-08-02.</t>
  </si>
  <si>
    <t xml:space="preserve">Auction ID</t>
  </si>
  <si>
    <t xml:space="preserve">iPhone Model</t>
  </si>
  <si>
    <t xml:space="preserve">Storage</t>
  </si>
  <si>
    <t xml:space="preserve">Grade</t>
  </si>
  <si>
    <t xml:space="preserve">Units</t>
  </si>
  <si>
    <t xml:space="preserve">Carrier</t>
  </si>
  <si>
    <t xml:space="preserve">Handset Only</t>
  </si>
  <si>
    <t xml:space="preserve">Bulk Price (Current Bid)</t>
  </si>
  <si>
    <t xml:space="preserve">Site Avg $/Unit</t>
  </si>
  <si>
    <t xml:space="preserve">Fee @ 2%</t>
  </si>
  <si>
    <t xml:space="preserve">Total Excl. Shipping</t>
  </si>
  <si>
    <t xml:space="preserve">Cost Per Unit</t>
  </si>
  <si>
    <t xml:space="preserve">Bids</t>
  </si>
  <si>
    <t xml:space="preserve">Closes In</t>
  </si>
  <si>
    <t xml:space="preserve">Location</t>
  </si>
  <si>
    <t xml:space="preserve">Auction Link</t>
  </si>
  <si>
    <t xml:space="preserve">iPhone 17 Pro Max</t>
  </si>
  <si>
    <t xml:space="preserve">512GB</t>
  </si>
  <si>
    <t xml:space="preserve">New</t>
  </si>
  <si>
    <t xml:space="preserve">T-Mobile</t>
  </si>
  <si>
    <t xml:space="preserve">Yes</t>
  </si>
  <si>
    <t xml:space="preserve">1d 8h</t>
  </si>
  <si>
    <t xml:space="preserve">Dallas, TX</t>
  </si>
  <si>
    <t xml:space="preserve">https://bstock.com/superior/auction/auction/view/id/50370/</t>
  </si>
  <si>
    <t xml:space="preserve">256GB</t>
  </si>
  <si>
    <t xml:space="preserve">A</t>
  </si>
  <si>
    <t xml:space="preserve">Generic</t>
  </si>
  <si>
    <t xml:space="preserve">No</t>
  </si>
  <si>
    <t xml:space="preserve">https://bstock.com/superior/auction/auction/view/id/50424/</t>
  </si>
  <si>
    <t xml:space="preserve">iPhone 17 Pro</t>
  </si>
  <si>
    <t xml:space="preserve">B</t>
  </si>
  <si>
    <t xml:space="preserve">https://bstock.com/superior/auction/auction/view/id/50429/</t>
  </si>
  <si>
    <t xml:space="preserve">iPhone 17</t>
  </si>
  <si>
    <t xml:space="preserve">https://bstock.com/superior/auction/auction/view/id/50423/</t>
  </si>
  <si>
    <t xml:space="preserve">AT&amp;T</t>
  </si>
  <si>
    <t xml:space="preserve">https://bstock.com/superior/auction/auction/view/id/50427/</t>
  </si>
  <si>
    <t xml:space="preserve">https://bstock.com/superior/auction/auction/view/id/50422/</t>
  </si>
  <si>
    <t xml:space="preserve">C</t>
  </si>
  <si>
    <t xml:space="preserve">https://bstock.com/superior/auction/auction/view/id/50428/</t>
  </si>
  <si>
    <t xml:space="preserve">iPhone 16 Pro Max</t>
  </si>
  <si>
    <t xml:space="preserve">1TB</t>
  </si>
  <si>
    <t xml:space="preserve">https://bstock.com/superior/auction/auction/view/id/50412/</t>
  </si>
  <si>
    <t xml:space="preserve">https://bstock.com/superior/auction/auction/view/id/50416/</t>
  </si>
  <si>
    <t xml:space="preserve">https://bstock.com/superior/auction/auction/view/id/50411/</t>
  </si>
  <si>
    <t xml:space="preserve">https://bstock.com/superior/auction/auction/view/id/50417/</t>
  </si>
  <si>
    <t xml:space="preserve">iPhone 16 Pro</t>
  </si>
  <si>
    <t xml:space="preserve">1d 9h</t>
  </si>
  <si>
    <t xml:space="preserve">https://bstock.com/superior/auction/auction/view/id/50410/</t>
  </si>
  <si>
    <t xml:space="preserve">iPhone 16 Plus</t>
  </si>
  <si>
    <t xml:space="preserve">https://bstock.com/superior/auction/auction/view/id/50415/</t>
  </si>
  <si>
    <t xml:space="preserve">https://bstock.com/superior/auction/auction/view/id/50420/</t>
  </si>
  <si>
    <t xml:space="preserve">128GB</t>
  </si>
  <si>
    <t xml:space="preserve">https://bstock.com/superior/auction/auction/view/id/50414/</t>
  </si>
  <si>
    <t xml:space="preserve">https://bstock.com/superior/auction/auction/view/id/50409/</t>
  </si>
  <si>
    <t xml:space="preserve">iPhone 16</t>
  </si>
  <si>
    <t xml:space="preserve">https://bstock.com/superior/auction/auction/view/id/50419/</t>
  </si>
  <si>
    <t xml:space="preserve">https://bstock.com/superior/auction/auction/view/id/50348/</t>
  </si>
  <si>
    <t xml:space="preserve">iPhone 16e</t>
  </si>
  <si>
    <t xml:space="preserve">https://bstock.com/superior/auction/auction/view/id/50426/</t>
  </si>
  <si>
    <t xml:space="preserve">https://bstock.com/superior/auction/auction/view/id/50421/</t>
  </si>
  <si>
    <t xml:space="preserve">https://bstock.com/superior/auction/auction/view/id/50369/</t>
  </si>
  <si>
    <t xml:space="preserve">iPhone 15 Pro Max</t>
  </si>
  <si>
    <t xml:space="preserve">https://bstock.com/superior/auction/auction/view/id/50408/</t>
  </si>
  <si>
    <t xml:space="preserve">https://bstock.com/superior/auction/auction/view/id/50407/</t>
  </si>
  <si>
    <t xml:space="preserve">https://bstock.com/superior/auction/auction/view/id/50406/</t>
  </si>
  <si>
    <t xml:space="preserve">https://bstock.com/superior/auction/auction/view/id/50400/</t>
  </si>
  <si>
    <t xml:space="preserve">https://bstock.com/superior/auction/auction/view/id/50343/</t>
  </si>
  <si>
    <t xml:space="preserve">https://bstock.com/superior/auction/auction/view/id/50347/</t>
  </si>
  <si>
    <t xml:space="preserve">iPhone 15 Pro</t>
  </si>
  <si>
    <t xml:space="preserve">https://bstock.com/superior/auction/auction/view/id/50413/</t>
  </si>
  <si>
    <t xml:space="preserve">https://bstock.com/superior/auction/auction/view/id/50399/</t>
  </si>
  <si>
    <t xml:space="preserve">https://bstock.com/superior/auction/auction/view/id/50405/</t>
  </si>
  <si>
    <t xml:space="preserve">https://bstock.com/superior/auction/auction/view/id/50345/</t>
  </si>
  <si>
    <t xml:space="preserve">https://bstock.com/superior/auction/auction/view/id/50354/</t>
  </si>
  <si>
    <t xml:space="preserve">iPhone 15 Plus</t>
  </si>
  <si>
    <t xml:space="preserve">https://bstock.com/superior/auction/auction/view/id/50404/</t>
  </si>
  <si>
    <t xml:space="preserve">https://bstock.com/superior/auction/auction/view/id/50397/</t>
  </si>
  <si>
    <t xml:space="preserve">https://bstock.com/superior/auction/auction/view/id/50349/</t>
  </si>
  <si>
    <t xml:space="preserve">https://bstock.com/superior/auction/auction/view/id/50360/</t>
  </si>
  <si>
    <t xml:space="preserve">https://bstock.com/superior/auction/auction/view/id/50398/</t>
  </si>
  <si>
    <t xml:space="preserve">iPhone 15</t>
  </si>
  <si>
    <t xml:space="preserve">https://bstock.com/superior/auction/auction/view/id/50418/</t>
  </si>
  <si>
    <t xml:space="preserve">https://bstock.com/superior/auction/auction/view/id/50403/</t>
  </si>
  <si>
    <t xml:space="preserve">https://bstock.com/superior/auction/auction/view/id/50396/</t>
  </si>
  <si>
    <t xml:space="preserve">https://bstock.com/superior/auction/auction/view/id/50337/</t>
  </si>
  <si>
    <t xml:space="preserve">https://bstock.com/superior/auction/auction/view/id/50331/</t>
  </si>
  <si>
    <t xml:space="preserve">https://bstock.com/superior/auction/auction/view/id/50353/</t>
  </si>
  <si>
    <t xml:space="preserve">iPhone 14 Pro Max</t>
  </si>
  <si>
    <t xml:space="preserve">https://bstock.com/superior/auction/auction/view/id/50395/</t>
  </si>
  <si>
    <t xml:space="preserve">https://bstock.com/superior/auction/auction/view/id/50402/</t>
  </si>
  <si>
    <t xml:space="preserve">https://bstock.com/superior/auction/auction/view/id/50335/</t>
  </si>
  <si>
    <t xml:space="preserve">https://bstock.com/superior/auction/auction/view/id/50355/</t>
  </si>
  <si>
    <t xml:space="preserve">iPhone 14 Pro</t>
  </si>
  <si>
    <t xml:space="preserve">https://bstock.com/superior/auction/auction/view/id/50401/</t>
  </si>
  <si>
    <t xml:space="preserve">https://bstock.com/superior/auction/auction/view/id/50394/</t>
  </si>
  <si>
    <t xml:space="preserve">https://bstock.com/superior/auction/auction/view/id/50332/</t>
  </si>
  <si>
    <t xml:space="preserve">https://bstock.com/superior/auction/auction/view/id/50357/</t>
  </si>
  <si>
    <t xml:space="preserve">iPhone 14 Plus</t>
  </si>
  <si>
    <t xml:space="preserve">https://bstock.com/superior/auction/auction/view/id/50393/</t>
  </si>
  <si>
    <t xml:space="preserve">https://bstock.com/superior/auction/auction/view/id/50368/</t>
  </si>
  <si>
    <t xml:space="preserve">https://bstock.com/superior/auction/auction/view/id/50344/</t>
  </si>
  <si>
    <t xml:space="preserve">https://bstock.com/superior/auction/auction/view/id/50358/</t>
  </si>
  <si>
    <t xml:space="preserve">https://bstock.com/superior/auction/auction/view/id/50387/</t>
  </si>
  <si>
    <t xml:space="preserve">iPhone 14</t>
  </si>
  <si>
    <t xml:space="preserve">https://bstock.com/superior/auction/auction/view/id/50392/</t>
  </si>
  <si>
    <t xml:space="preserve">https://bstock.com/superior/auction/auction/view/id/50346/</t>
  </si>
  <si>
    <t xml:space="preserve">https://bstock.com/superior/auction/auction/view/id/50359/</t>
  </si>
  <si>
    <t xml:space="preserve">https://bstock.com/superior/auction/auction/view/id/50350/</t>
  </si>
  <si>
    <t xml:space="preserve">iPhone 13 Pro Max</t>
  </si>
  <si>
    <t xml:space="preserve">https://bstock.com/superior/auction/auction/view/id/50334/</t>
  </si>
  <si>
    <t xml:space="preserve">https://bstock.com/superior/auction/auction/view/id/50356/</t>
  </si>
  <si>
    <t xml:space="preserve">https://bstock.com/superior/auction/auction/view/id/50386/</t>
  </si>
  <si>
    <t xml:space="preserve">iPhone 13 Pro</t>
  </si>
  <si>
    <t xml:space="preserve">1d 10h</t>
  </si>
  <si>
    <t xml:space="preserve">https://bstock.com/superior/auction/auction/view/id/50391/</t>
  </si>
  <si>
    <t xml:space="preserve">https://bstock.com/superior/auction/auction/view/id/50341/</t>
  </si>
  <si>
    <t xml:space="preserve">https://bstock.com/superior/auction/auction/view/id/50352/</t>
  </si>
  <si>
    <t xml:space="preserve">iPhone 13</t>
  </si>
  <si>
    <t xml:space="preserve">https://bstock.com/superior/auction/auction/view/id/50385/</t>
  </si>
  <si>
    <t xml:space="preserve">https://bstock.com/superior/auction/auction/view/id/50383/</t>
  </si>
  <si>
    <t xml:space="preserve">https://bstock.com/superior/auction/auction/view/id/50390/</t>
  </si>
  <si>
    <t xml:space="preserve">https://bstock.com/superior/auction/auction/view/id/50338/</t>
  </si>
  <si>
    <t xml:space="preserve">https://bstock.com/superior/auction/auction/view/id/50330/</t>
  </si>
  <si>
    <t xml:space="preserve">iPhone 13 Mini</t>
  </si>
  <si>
    <t xml:space="preserve">https://bstock.com/superior/auction/auction/view/id/50388/</t>
  </si>
  <si>
    <t xml:space="preserve">https://bstock.com/superior/auction/auction/view/id/50384/</t>
  </si>
  <si>
    <t xml:space="preserve">https://bstock.com/superior/auction/auction/view/id/50342/</t>
  </si>
  <si>
    <t xml:space="preserve">iPhone 12 Pro Max</t>
  </si>
  <si>
    <t xml:space="preserve">https://bstock.com/superior/auction/auction/view/id/50382/</t>
  </si>
  <si>
    <t xml:space="preserve">https://bstock.com/superior/auction/auction/view/id/50336/</t>
  </si>
  <si>
    <t xml:space="preserve">iPhone 12</t>
  </si>
  <si>
    <t xml:space="preserve">64GB</t>
  </si>
  <si>
    <t xml:space="preserve">https://bstock.com/superior/auction/auction/view/id/50389/</t>
  </si>
  <si>
    <t xml:space="preserve">https://bstock.com/superior/auction/auction/view/id/50333/</t>
  </si>
  <si>
    <t xml:space="preserve">iPhone 12 Mini</t>
  </si>
  <si>
    <t xml:space="preserve">https://bstock.com/superior/auction/auction/view/id/50378/</t>
  </si>
  <si>
    <t xml:space="preserve">iPhone 11 Pro Max</t>
  </si>
  <si>
    <t xml:space="preserve">https://bstock.com/superior/auction/auction/view/id/50381/</t>
  </si>
  <si>
    <t xml:space="preserve">https://bstock.com/superior/auction/auction/view/id/50377/</t>
  </si>
  <si>
    <t xml:space="preserve">iPhone 11 Pro</t>
  </si>
  <si>
    <t xml:space="preserve">https://bstock.com/superior/auction/auction/view/id/50376/</t>
  </si>
  <si>
    <t xml:space="preserve">Mixed / Not specified</t>
  </si>
  <si>
    <t xml:space="preserve">Mixed Carrier</t>
  </si>
  <si>
    <t xml:space="preserve">https://bstock.com/superior/auction/auction/view/id/50380/</t>
  </si>
  <si>
    <t xml:space="preserve">iPhone 11</t>
  </si>
  <si>
    <t xml:space="preserve">https://bstock.com/superior/auction/auction/view/id/50372/</t>
  </si>
  <si>
    <t xml:space="preserve">https://bstock.com/superior/auction/auction/view/id/50371/</t>
  </si>
  <si>
    <t xml:space="preserve">https://bstock.com/superior/auction/auction/view/id/50340/</t>
  </si>
  <si>
    <t xml:space="preserve">https://bstock.com/superior/auction/auction/view/id/50351/</t>
  </si>
  <si>
    <t xml:space="preserve">A/B</t>
  </si>
  <si>
    <t xml:space="preserve">https://bstock.com/superior/auction/auction/view/id/50365/</t>
  </si>
  <si>
    <t xml:space="preserve">iPhone SE (2022)</t>
  </si>
  <si>
    <t xml:space="preserve">https://bstock.com/superior/auction/auction/view/id/50425/</t>
  </si>
  <si>
    <t xml:space="preserve">B/C</t>
  </si>
  <si>
    <t xml:space="preserve">https://bstock.com/superior/auction/auction/view/id/50362/</t>
  </si>
  <si>
    <t xml:space="preserve">https://bstock.com/superior/auction/auction/view/id/50339/</t>
  </si>
  <si>
    <t xml:space="preserve">iPhone SE (2020)</t>
  </si>
  <si>
    <t xml:space="preserve">https://bstock.com/superior/auction/auction/view/id/50366/</t>
  </si>
  <si>
    <t xml:space="preserve">https://bstock.com/superior/auction/auction/view/id/50363/</t>
  </si>
  <si>
    <t xml:space="preserve">iPhone SE (2022) &amp; iPhone XR</t>
  </si>
  <si>
    <t xml:space="preserve">https://bstock.com/superior/auction/auction/view/id/50367/</t>
  </si>
  <si>
    <t xml:space="preserve">iPhone SE (2020) &amp; iPhone SE (2022)</t>
  </si>
  <si>
    <t xml:space="preserve">https://bstock.com/superior/auction/auction/view/id/50364/</t>
  </si>
  <si>
    <t xml:space="preserve">iPhone XR, iPhone SE (2020), iPhone SE (2022) &amp; More</t>
  </si>
  <si>
    <t xml:space="preserve">https://bstock.com/superior/auction/auction/view/id/50361/</t>
  </si>
  <si>
    <t xml:space="preserve">TOTAL / BLENDED</t>
  </si>
  <si>
    <t xml:space="preserve">&lt;- blended cost per unit across all lots on this page</t>
  </si>
  <si>
    <t xml:space="preserve">eBay Comps (n)</t>
  </si>
  <si>
    <t xml:space="preserve">eBay Min</t>
  </si>
  <si>
    <t xml:space="preserve">eBay Median</t>
  </si>
  <si>
    <t xml:space="preserve">eBay Max</t>
  </si>
  <si>
    <t xml:space="preserve">Cashout Cond</t>
  </si>
  <si>
    <t xml:space="preserve">Cashout Vendors (n)</t>
  </si>
  <si>
    <t xml:space="preserve">Cashout Min</t>
  </si>
  <si>
    <t xml:space="preserve">Cashout Max</t>
  </si>
  <si>
    <t xml:space="preserve">Profit/Unit @ Cashout Min</t>
  </si>
  <si>
    <t xml:space="preserve">Profit/Unit @ Cashout Max</t>
  </si>
  <si>
    <t xml:space="preserve">Profit/Unit @ eBay Min</t>
  </si>
  <si>
    <t xml:space="preserve">Profit/Unit @ eBay Max</t>
  </si>
  <si>
    <t xml:space="preserve">Total @ Cashout Min</t>
  </si>
  <si>
    <t xml:space="preserve">Total @ Cashout Max</t>
  </si>
  <si>
    <t xml:space="preserve">Total @ eBay Min</t>
  </si>
  <si>
    <t xml:space="preserve">Total @ eBay Max</t>
  </si>
  <si>
    <t xml:space="preserve">Comp Conditions Used</t>
  </si>
  <si>
    <t xml:space="preserve">Comp Lock Mix</t>
  </si>
  <si>
    <t xml:space="preserve">Match Warning</t>
  </si>
  <si>
    <t xml:space="preserve">MINT</t>
  </si>
  <si>
    <t xml:space="preserve">2 Open Box, 1 Brand New</t>
  </si>
  <si>
    <t xml:space="preserve">3 Unlocked</t>
  </si>
  <si>
    <t xml:space="preserve">Lot is T-Mobile-locked, comps mostly Unlocked - expect a discount</t>
  </si>
  <si>
    <t xml:space="preserve">GOOD</t>
  </si>
  <si>
    <t xml:space="preserve">8 Pre-Owned, 1 Excellent - Refurbished</t>
  </si>
  <si>
    <t xml:space="preserve">6 Unlocked, 2 Verizon, 1 AT&amp;T</t>
  </si>
  <si>
    <t xml:space="preserve">1 Pre-Owned</t>
  </si>
  <si>
    <t xml:space="preserve">1 Unlocked</t>
  </si>
  <si>
    <t xml:space="preserve">Thin: 1 comp(s)</t>
  </si>
  <si>
    <t xml:space="preserve">No comp on this page set for this model + storage</t>
  </si>
  <si>
    <t xml:space="preserve">6 Pre-Owned, 4 Excellent - Refurbished</t>
  </si>
  <si>
    <t xml:space="preserve">7 Unlocked, 1 T-Mobile, 1 Not stated</t>
  </si>
  <si>
    <t xml:space="preserve">Lot is AT&amp;T-locked, comps mostly Unlocked - expect a discount</t>
  </si>
  <si>
    <t xml:space="preserve">6 Pre-Owned</t>
  </si>
  <si>
    <t xml:space="preserve">4 Unlocked, 1 T-Mobile, 1 Not stated</t>
  </si>
  <si>
    <t xml:space="preserve">2 Pre-Owned, 1 Good - Refurbished</t>
  </si>
  <si>
    <t xml:space="preserve">2 Unlocked, 1 Xfinity</t>
  </si>
  <si>
    <t xml:space="preserve">2 Pre-Owned</t>
  </si>
  <si>
    <t xml:space="preserve">1 AT&amp;T, 1 Unlocked</t>
  </si>
  <si>
    <t xml:space="preserve">Thin: 2 comp(s)</t>
  </si>
  <si>
    <t xml:space="preserve">5 Pre-Owned</t>
  </si>
  <si>
    <t xml:space="preserve">5 Unlocked</t>
  </si>
  <si>
    <t xml:space="preserve">5 Pre-Owned, 2 Very Good - Refurbished</t>
  </si>
  <si>
    <t xml:space="preserve">7 Unlocked</t>
  </si>
  <si>
    <t xml:space="preserve">1 Very Good - Refurbished</t>
  </si>
  <si>
    <t xml:space="preserve">Lot is T-Mobile-locked, comps mostly Unlocked - expect a discount | Thin: 1 comp(s)</t>
  </si>
  <si>
    <t xml:space="preserve">2 Pre-Owned, 1 Very Good - Refurbished</t>
  </si>
  <si>
    <t xml:space="preserve">3 Pre-Owned</t>
  </si>
  <si>
    <t xml:space="preserve">2 Unlocked, 1 Verizon</t>
  </si>
  <si>
    <t xml:space="preserve">2 Unlocked</t>
  </si>
  <si>
    <t xml:space="preserve">Lot is T-Mobile-locked, comps mostly Unlocked - expect a discount | Thin: 2 comp(s)</t>
  </si>
  <si>
    <t xml:space="preserve">1 Very Good - Refurbished, 1 Pre-Owned</t>
  </si>
  <si>
    <t xml:space="preserve">1 Unlocked, 1 T-Mobile</t>
  </si>
  <si>
    <t xml:space="preserve">1 T-Mobile</t>
  </si>
  <si>
    <t xml:space="preserve">1 Open Box</t>
  </si>
  <si>
    <t xml:space="preserve">2 Not stated, 1 Spectrum, 1 AT&amp;T</t>
  </si>
  <si>
    <t xml:space="preserve">9 Pre-Owned</t>
  </si>
  <si>
    <t xml:space="preserve">9 Unlocked</t>
  </si>
  <si>
    <t xml:space="preserve">9 Pre-Owned, 2 Very Good - Refurbished</t>
  </si>
  <si>
    <t xml:space="preserve">11 Unlocked</t>
  </si>
  <si>
    <t xml:space="preserve">9 Pre-Owned, 1 Good - Refurbished</t>
  </si>
  <si>
    <t xml:space="preserve">10 Unlocked</t>
  </si>
  <si>
    <t xml:space="preserve">2 Unlocked, 1 AT&amp;T</t>
  </si>
  <si>
    <t xml:space="preserve">4 Pre-Owned</t>
  </si>
  <si>
    <t xml:space="preserve">3 Unlocked, 1 AT&amp;T</t>
  </si>
  <si>
    <t xml:space="preserve">Lot is AT&amp;T-locked, comps mostly Unlocked - expect a discount | Thin: 1 comp(s)</t>
  </si>
  <si>
    <t xml:space="preserve">2 Pre-Owned, 1 Excellent - Refurbished</t>
  </si>
  <si>
    <t xml:space="preserve">14 Pre-Owned, 2 Excellent - Refurbished</t>
  </si>
  <si>
    <t xml:space="preserve">15 Unlocked, 1 Not stated</t>
  </si>
  <si>
    <t xml:space="preserve">14 Pre-Owned, 2 Very Good - Refurbished</t>
  </si>
  <si>
    <t xml:space="preserve">14 Pre-Owned, 3 Good - Refurbished</t>
  </si>
  <si>
    <t xml:space="preserve">16 Unlocked, 1 Not stated</t>
  </si>
  <si>
    <t xml:space="preserve">3 Pre-Owned, 1 Very Good - Refurbished</t>
  </si>
  <si>
    <t xml:space="preserve">4 Unlocked</t>
  </si>
  <si>
    <t xml:space="preserve">3 Unlocked, 1 T-Mobile</t>
  </si>
  <si>
    <t xml:space="preserve">5 Pre-Owned, 1 Good - Refurbished</t>
  </si>
  <si>
    <t xml:space="preserve">3 Unlocked, 2 Not stated, 1 AT&amp;T</t>
  </si>
  <si>
    <t xml:space="preserve">2 Very Good - Refurbished, 1 Pre-Owned</t>
  </si>
  <si>
    <t xml:space="preserve">3 Unlocked, 1 AT&amp;T, Verizon, T-Mobile, Sprint</t>
  </si>
  <si>
    <t xml:space="preserve">7 Pre-Owned, 1 Excellent - Refurbished</t>
  </si>
  <si>
    <t xml:space="preserve">8 Unlocked</t>
  </si>
  <si>
    <t xml:space="preserve">7 Pre-Owned</t>
  </si>
  <si>
    <t xml:space="preserve">15 Pre-Owned, 4 Excellent - Refurbished</t>
  </si>
  <si>
    <t xml:space="preserve">16 Unlocked, 2 AT&amp;T, 1 T-Mobile</t>
  </si>
  <si>
    <t xml:space="preserve">15 Pre-Owned, 4 Very Good - Refurbished</t>
  </si>
  <si>
    <t xml:space="preserve">14 Unlocked, 2 U.S. Cellular, 2 AT&amp;T</t>
  </si>
  <si>
    <t xml:space="preserve">15 Pre-Owned, 3 Good - Refurbished</t>
  </si>
  <si>
    <t xml:space="preserve">15 Unlocked, 2 AT&amp;T, 1 T-Mobile</t>
  </si>
  <si>
    <t xml:space="preserve">2 Unlocked, 1 Verizon, 1 AT&amp;T</t>
  </si>
  <si>
    <t xml:space="preserve">4 Pre-Owned, 1 Good - Refurbished</t>
  </si>
  <si>
    <t xml:space="preserve">21 Pre-Owned, 2 Excellent - Refurbished</t>
  </si>
  <si>
    <t xml:space="preserve">17 Unlocked, 2 AT&amp;T, 2 SIMPLE Mobile</t>
  </si>
  <si>
    <t xml:space="preserve">21 Pre-Owned, 2 Very Good - Refurbished</t>
  </si>
  <si>
    <t xml:space="preserve">21 Pre-Owned, 1 Good - Refurbished</t>
  </si>
  <si>
    <t xml:space="preserve">16 Unlocked, 2 AT&amp;T, 2 SIMPLE Mobile</t>
  </si>
  <si>
    <t xml:space="preserve">2 Very Good - Refurbished</t>
  </si>
  <si>
    <t xml:space="preserve">6 Unlocked, 1 Verizon</t>
  </si>
  <si>
    <t xml:space="preserve">4 Unlocked, 1 T-Mobile, 1 Spectrum</t>
  </si>
  <si>
    <t xml:space="preserve">21 Pre-Owned, 4 Excellent - Refurbished</t>
  </si>
  <si>
    <t xml:space="preserve">19 Unlocked, 3 Not stated, 1 Xfinity</t>
  </si>
  <si>
    <t xml:space="preserve">21 Pre-Owned</t>
  </si>
  <si>
    <t xml:space="preserve">16 Unlocked, 3 Not stated, 1 T-Mobile</t>
  </si>
  <si>
    <t xml:space="preserve">3 Unlocked, 1 Verizon, 1 Not stated</t>
  </si>
  <si>
    <t xml:space="preserve">12 Pre-Owned</t>
  </si>
  <si>
    <t xml:space="preserve">11 Unlocked, 1 Not stated</t>
  </si>
  <si>
    <t xml:space="preserve">TOTAL</t>
  </si>
  <si>
    <t xml:space="preserve">Model</t>
  </si>
  <si>
    <t xml:space="preserve">Lots</t>
  </si>
  <si>
    <t xml:space="preserve">Bulk Price Total</t>
  </si>
  <si>
    <t xml:space="preserve">Blended Cost Per Unit</t>
  </si>
  <si>
    <t xml:space="preserve">Condition</t>
  </si>
  <si>
    <t xml:space="preserve">Grade Band</t>
  </si>
  <si>
    <t xml:space="preserve">Lock</t>
  </si>
  <si>
    <t xml:space="preserve">Sold Price</t>
  </si>
  <si>
    <t xml:space="preserve">Sold Date</t>
  </si>
  <si>
    <t xml:space="preserve">Listing Title</t>
  </si>
  <si>
    <t xml:space="preserve">Pre-Owned</t>
  </si>
  <si>
    <t xml:space="preserve">Used</t>
  </si>
  <si>
    <t xml:space="preserve">Unlocked</t>
  </si>
  <si>
    <t xml:space="preserve">Aug 1, 2026</t>
  </si>
  <si>
    <t xml:space="preserve">Apple iPhone 17 Pro Max - 1 TB - Silver (Unlocked)</t>
  </si>
  <si>
    <t xml:space="preserve">Open Box</t>
  </si>
  <si>
    <t xml:space="preserve">Apple iPhone 17 Pro Max 512GB Cosmic Orange Unlocked Smartphone</t>
  </si>
  <si>
    <t xml:space="preserve">Factory Unlocked Apple iPhone 17 Pro Max 512GB Cosmic Orange MFXL4LL/A</t>
  </si>
  <si>
    <t xml:space="preserve">Apple iPhone 17 Pro Max 512GB Orange Unlocked 48MP Open Box (A3257)</t>
  </si>
  <si>
    <t xml:space="preserve">Brand New</t>
  </si>
  <si>
    <t xml:space="preserve">iphone 17 pro max silver 512gb unlocked (sealed)</t>
  </si>
  <si>
    <t xml:space="preserve">Verizon</t>
  </si>
  <si>
    <t xml:space="preserve">Apple iPhone 17 Pro Max - 256 GB - Silver (Verizon) 100% Battery health</t>
  </si>
  <si>
    <t xml:space="preserve">iPhone 17 Pro Max 256 GB Silver Verizon Pre-owned Excellent</t>
  </si>
  <si>
    <t xml:space="preserve">Apple iPhone 17 Pro Max - 256 GB - Cosmic Orange (AT&amp;T)</t>
  </si>
  <si>
    <t xml:space="preserve">apple iphone 17 pro max 256gb</t>
  </si>
  <si>
    <t xml:space="preserve">Apple iPhone 17 Pro Max | 256GB | eSIM | Cosmic Orange | PRE OWNED!</t>
  </si>
  <si>
    <t xml:space="preserve">iPhone 17 Pro Max Cosmetic Orange 256GB Unlocked Smartphone</t>
  </si>
  <si>
    <t xml:space="preserve">iphone 17 pro max 256gb unlocked✅ silver. (Read Description)</t>
  </si>
  <si>
    <t xml:space="preserve">Apple iPhone 17 Pro MAX - 256GB - Orange (AT&amp;T Locked) - Immaculate Condition).</t>
  </si>
  <si>
    <t xml:space="preserve">Apple iPhone 17 Pro Max 256GB Deep Blue Unlocked 100% Battery Tested Working</t>
  </si>
  <si>
    <t xml:space="preserve">iPhone 17 Pro Max 256GB Silver, Unlocked</t>
  </si>
  <si>
    <t xml:space="preserve">Apple iPhone 17 Pro Max 256GB, Cosmic Orange, Unlocked</t>
  </si>
  <si>
    <t xml:space="preserve">iPhone pro 17 max 256GB</t>
  </si>
  <si>
    <t xml:space="preserve">Excellent - Refurbished</t>
  </si>
  <si>
    <t xml:space="preserve">Apple iPhone 17 Pro Max, US Version, 256GB, eSIM, - Unlocked. Excellent</t>
  </si>
  <si>
    <t xml:space="preserve">Apple iPhone 17 Pro Max - 256GB - Deep Blue (Unlocked) - Open Box</t>
  </si>
  <si>
    <t xml:space="preserve">New Sealed Apple iPhone 17 Pro Max 256GB Orange Factory Unlocked Apple Warranty</t>
  </si>
  <si>
    <t xml:space="preserve">2TB</t>
  </si>
  <si>
    <t xml:space="preserve">Not stated</t>
  </si>
  <si>
    <t xml:space="preserve">Apple iPhone 17 Pro Max 2TB Silver eSIM USB-C A3257 MFXH4LL/A</t>
  </si>
  <si>
    <t xml:space="preserve">Apple iPhone 17 Pro Max - 2 TB - Silver (Unlocked) Excellent condition 9/10</t>
  </si>
  <si>
    <t xml:space="preserve">NEW*  Apple iPhone 17 Pro | 256GB | Verizon ONLY | All Colors!</t>
  </si>
  <si>
    <t xml:space="preserve">Apple iPhone 17 Pro 256GB Deep Blue Unlocked</t>
  </si>
  <si>
    <t xml:space="preserve">Apple iPhone 17 512GB Unlocked iOS 6.3in Green Bar Style Smartphone</t>
  </si>
  <si>
    <t xml:space="preserve">Apple iPhone 17e 256GB Unlocked Pink iOS 6.1in 48MP Bar Smartphone</t>
  </si>
  <si>
    <t xml:space="preserve">Apple iPhone 17 e 256gb Factory Unlocked PINK  MODEL#MHRQ4LL/A Fast Shipping</t>
  </si>
  <si>
    <t xml:space="preserve">Apple iPhone 17 256GB Black Bar Smartphone 12MP Camera - Used</t>
  </si>
  <si>
    <t xml:space="preserve">Apple iPhone 17e 256GB Black Unlocked 6.1in 100% Battery w/ Box+Red+White Cases</t>
  </si>
  <si>
    <t xml:space="preserve">Apple iPhone 17e - Unlocked - 256GB - White - Excellent</t>
  </si>
  <si>
    <t xml:space="preserve">Spectrum</t>
  </si>
  <si>
    <t xml:space="preserve">Apple iPhone 17 A3258 256GB | Black | SPECTRUM ONLY</t>
  </si>
  <si>
    <t xml:space="preserve">Jul 31, 2026</t>
  </si>
  <si>
    <t xml:space="preserve">iPhone 17 256GB T-Mobile Locked - Black Perfect Condition</t>
  </si>
  <si>
    <t xml:space="preserve">Jul 3, 2026</t>
  </si>
  <si>
    <t xml:space="preserve">Apple iPhone 17 (256GB, 8GB) 6.3", iOS 26, 5G / 4G LTE AT&amp;T Locked US Model</t>
  </si>
  <si>
    <t xml:space="preserve">iPhone 17 256gb Unlocked Lavender 3 Battery Cycles</t>
  </si>
  <si>
    <t xml:space="preserve">Apple iPhone 17 256GB 6.3" 5G Fully Unlocked eSim US Version - Excellent</t>
  </si>
  <si>
    <t xml:space="preserve">Apple iPhone 17 A3258 256GB Unlocked Excellent Condition</t>
  </si>
  <si>
    <t xml:space="preserve">Good - Refurbished</t>
  </si>
  <si>
    <t xml:space="preserve">Apple iPhone 16 Pro Max, 1TB, Titanium US Version - e-Sim - Unlocked - Good</t>
  </si>
  <si>
    <t xml:space="preserve">Xfinity</t>
  </si>
  <si>
    <t xml:space="preserve">Apple iPhone 16 Pro Max 1TB White Network Unlocked eSIM MYWE3LL/A</t>
  </si>
  <si>
    <t xml:space="preserve">Apple iPhone 16 Pro Max 1TB Desert Titanium 93% Battery, Box, AppleCare+ 9/20/26</t>
  </si>
  <si>
    <t xml:space="preserve">Apple iPhone 16 Pro Max 1TB Unlocked AT&amp;T T-Mobile Verizon Excellent Condition</t>
  </si>
  <si>
    <t xml:space="preserve">Jan 21, 2026</t>
  </si>
  <si>
    <t xml:space="preserve">Apple iPhone 16 Pro Max - Unlocked - Natural Titanium - 1TB - New Open Box</t>
  </si>
  <si>
    <t xml:space="preserve">iPhone 16 Pro Max 512GB ATT/Cricket</t>
  </si>
  <si>
    <t xml:space="preserve">iPhone 16 Pro Max 512GB Desert Titanium Unlocked - Excellent Condition</t>
  </si>
  <si>
    <t xml:space="preserve">Unlocked Apple iPhone 16 Pro Max 256GB 26.5 Natural Titanium MYW53LL/A</t>
  </si>
  <si>
    <t xml:space="preserve">Apple iPhone 16 Pro Max 256GB Desert Titanium Unlocked Smartphone</t>
  </si>
  <si>
    <t xml:space="preserve">iPhone 16 Pro Max 256GB – Black Titanium – Unlocked – Used</t>
  </si>
  <si>
    <t xml:space="preserve">Apple iPhone 16 Pro Max - 256 GB - Gold (Unlocked)</t>
  </si>
  <si>
    <t xml:space="preserve">Very Good - Refurbished</t>
  </si>
  <si>
    <t xml:space="preserve">Apple iPhone 16 Pro Max 256GB Black Titanium (Unlocked) - 90%+ Battery Very Good</t>
  </si>
  <si>
    <t xml:space="preserve">Apple iPhone 16 Pro Max 256GB Unlocked Very Good Condition</t>
  </si>
  <si>
    <t xml:space="preserve">iPhone 16 Pro Max 256gb Unlocked Excellent 98% Battery Health +2 Premium Cases</t>
  </si>
  <si>
    <t xml:space="preserve">Apple iPhone 16 Pro Max Unlocked Excellent Battery Health 256GB Desert Titanium</t>
  </si>
  <si>
    <t xml:space="preserve">APPLE IPHONE 16 PRO MAX 256GB (FACTORY UNLOCKED) ✅100% BATTERY HEALTH✅❖SEALED❖</t>
  </si>
  <si>
    <t xml:space="preserve">Apple iPhone 16 Pro 512GB Factory Unlocked AT&amp;T T-Mobile Verizon Good Condition</t>
  </si>
  <si>
    <t xml:space="preserve">Jul 29, 2026</t>
  </si>
  <si>
    <t xml:space="preserve">Apple iPhone 16 Pro 512GB Factory Unlocked Very Good Condition</t>
  </si>
  <si>
    <t xml:space="preserve">Apple iPhone 16 Pro, 256 GB, Black Titanium, Unlocked</t>
  </si>
  <si>
    <t xml:space="preserve">Apple iPhone 16 Pro - 256GB - Desert Titanium Unlocked - 90%+ Battery Excellent</t>
  </si>
  <si>
    <t xml:space="preserve">Apple iPhone 16 Pro - 128 GB - Black Titanium (Unlocked)</t>
  </si>
  <si>
    <t xml:space="preserve">Apple iPhone 16 Pro 128GB Unlocked Smartphone Rose Gold Version</t>
  </si>
  <si>
    <t xml:space="preserve">Apple iPhone 16 Pro Natural Unlocked</t>
  </si>
  <si>
    <t xml:space="preserve">Apple iPhone 16 Pro 128GB Unlocked Very Good Condition</t>
  </si>
  <si>
    <t xml:space="preserve">Apple iPhone 16 Pro - 128GB - Desert Titanium -Unlocked - 90%+ Battery Very Good</t>
  </si>
  <si>
    <t xml:space="preserve">Apple iPhone 16 Plus 256GB Teal, Unlocked, 100% Battery Health</t>
  </si>
  <si>
    <t xml:space="preserve">Apple iPhone 16 Plus 256GB Unlocked Fair Condition - All Colors</t>
  </si>
  <si>
    <t xml:space="preserve">Apple iPhone 16 Plus 256GB Unlocked AT&amp;T T-Mobile Verizon Very Good Condition</t>
  </si>
  <si>
    <t xml:space="preserve">Apple iPhone 16 Plus 128Gb MXUU3LL/A - White - AT&amp;T Locked, 100% Battery</t>
  </si>
  <si>
    <t xml:space="preserve">Apple iPhone 16 Plus 128GB Blue Unlocked 6.7in 48MP iOS Smartphone</t>
  </si>
  <si>
    <t xml:space="preserve">Apple iPhone 16 Plus 128GB Carrier Unlocked Ultramarine</t>
  </si>
  <si>
    <t xml:space="preserve">Apple iPhone 16 Plus 128GB Unlocked Very Good Condition</t>
  </si>
  <si>
    <t xml:space="preserve">Apple iPhone 16 Plus 128GB Factory Unlocked Open Box Mint Smartphone A3082</t>
  </si>
  <si>
    <t xml:space="preserve">Apple iPhone 16 256GB Black - Unlocked AT&amp;T T-Mobile Verizon 7639162</t>
  </si>
  <si>
    <t xml:space="preserve">Apple iPhone 16 - 256 GB - White (Unlocked)</t>
  </si>
  <si>
    <t xml:space="preserve">New Open Box Apple iPhone 16 128GB Black (AT&amp;T Cricket ONLY) (100% Battery)</t>
  </si>
  <si>
    <t xml:space="preserve">*Brand New* Apple iPhone 16 128gb Black - Verizon Only    Free shipping</t>
  </si>
  <si>
    <t xml:space="preserve">Apple iPhone 16 128GB Black Unlocked iOS 6.1in 12MP Camera Smartphone</t>
  </si>
  <si>
    <t xml:space="preserve">Apple iPhone 16 A3081 128GB | Black | T-MOBILE ONLY</t>
  </si>
  <si>
    <t xml:space="preserve">Apple iPhone 16 128GB Unlocked Very Good Condition</t>
  </si>
  <si>
    <t xml:space="preserve">Apple iPhone 16e 128/256/512GB  (Unlocked) Premium Condition 100%+ Battery</t>
  </si>
  <si>
    <t xml:space="preserve">Apple iPhone 16e - 256GB (T-Mobile ONLY ) Works Great      (#M443)</t>
  </si>
  <si>
    <t xml:space="preserve">Apple iPhone 16e 256GB Factory Unlocked ATT T-Mobile Verizon Very Good Condition</t>
  </si>
  <si>
    <t xml:space="preserve">Boost Mobile</t>
  </si>
  <si>
    <t xml:space="preserve">Apple iPhone 16e - 128 GB - Black (Boost Mobile) ~m2356</t>
  </si>
  <si>
    <t xml:space="preserve">Metro</t>
  </si>
  <si>
    <t xml:space="preserve">Apple iPhone 16e 128GB A3212 MD0T4LL/A - Black (Metro) (LT-G38136577-01 KO)</t>
  </si>
  <si>
    <t xml:space="preserve">Apple iPhone 16e 128GB Black iOS Smartphone Cell Phone Used</t>
  </si>
  <si>
    <t xml:space="preserve">Apple iPhone 16e A3212 Unlocked 128GB Black C</t>
  </si>
  <si>
    <t xml:space="preserve">Jun 30, 2026</t>
  </si>
  <si>
    <t xml:space="preserve">Iphone 16e / 128gb / Black (sim Free)</t>
  </si>
  <si>
    <t xml:space="preserve">Apple iPhone 16e-Black-128 GB Battery Health 100%  (UNLOCKED) Exc USED Cond</t>
  </si>
  <si>
    <t xml:space="preserve">Apple iPhone 16E - 128GB  - VERY GOOD Condition - Black</t>
  </si>
  <si>
    <t xml:space="preserve">Apple iPhone 16e A3212 128GB Black Unlocked Very Good</t>
  </si>
  <si>
    <t xml:space="preserve">Apple iPhone 16e 128GB Unlocked Very Good Condition</t>
  </si>
  <si>
    <t xml:space="preserve">Apple iPhone 16e 128GB Unlocked Excellent Condition</t>
  </si>
  <si>
    <t xml:space="preserve">Apple iPhone 16e 128 GB 5G Black 100% Batt  (Unlocked) NEW OTHER SEALED BOX</t>
  </si>
  <si>
    <t xml:space="preserve">iPhone 16e + 14 + Apple Watch SE bundle ---- And More!</t>
  </si>
  <si>
    <t xml:space="preserve">UNLOCKED APPLE iPHONE 15 PRO MAX A2849 1TB BLUE TITANIUM S08</t>
  </si>
  <si>
    <t xml:space="preserve">Apple iPhone 15 Pro Max - 1TB - (Unlocked) - A284 - All Colors - Excellent</t>
  </si>
  <si>
    <t xml:space="preserve">Apple iPhone 15 Pro Max 512GB Natural Titanium Spectrum</t>
  </si>
  <si>
    <t xml:space="preserve">Apple iPhone 15 Pro Max 512GB Black Slate 48MP Camera Smartphone</t>
  </si>
  <si>
    <t xml:space="preserve">Apple iPhone 15 Pro Max 512GB natural titanium iOS 48MP Camera Bar Smartphone .</t>
  </si>
  <si>
    <t xml:space="preserve">Apple iPhone 15 Pro Max 512GB Blue Titanium AT&amp;T Very Good Condition</t>
  </si>
  <si>
    <t xml:space="preserve">Apple iPhone 15 PRO Max 512 GB (A2849) White  Titanium(Unlocked) w/ Accessories</t>
  </si>
  <si>
    <t xml:space="preserve">Apple iPhone 15 Pro Max 256GB Unlocked Black See Description</t>
  </si>
  <si>
    <t xml:space="preserve">Apple iPhone 15 Pro Max 256GB Blue Titanium Factory Unlocked - Read Description</t>
  </si>
  <si>
    <t xml:space="preserve">iPhone 15 Pro Max, 256GB, Unlocked, Natural Titanium, MU683LL/A</t>
  </si>
  <si>
    <t xml:space="preserve">Apple iPhone 15 Pro Max 256GB Blue Unlocked iOS 6.7" 12MP 5G USB-C</t>
  </si>
  <si>
    <t xml:space="preserve">Aug 2, 2026</t>
  </si>
  <si>
    <t xml:space="preserve">Apple iPhone 15 Pro Max - 256GB - Blue Titanium - Unlocked</t>
  </si>
  <si>
    <t xml:space="preserve">Apple iPhone 15 Pro Max 256GB Blue Titanium - Unlocked (USED-Fair) G10</t>
  </si>
  <si>
    <t xml:space="preserve">Apple iPhone 15 Pro Max - 256 GB - Natural Titanium (Unlocked) Pro 5x Zoom</t>
  </si>
  <si>
    <t xml:space="preserve">Apple iPhone 15 Pro Max 256GB clean UNLOCKED completely wiped</t>
  </si>
  <si>
    <t xml:space="preserve">Apple iPhone 15 Pro Max 256GB Blue Titanium Unlocked Very Good</t>
  </si>
  <si>
    <t xml:space="preserve">Apple iPhone 15 Pro Max 256GB Unlocked - Good</t>
  </si>
  <si>
    <t xml:space="preserve">Apple iPhone 15 Pro Max 256GB Black Titanium Unlocked - Very Good Refurbished</t>
  </si>
  <si>
    <t xml:space="preserve">Apple iPhone 15 Pro Max A2849 256GB Unlocked Very Good</t>
  </si>
  <si>
    <t xml:space="preserve">Apple iPhone 15 Pro Max 256GB Various Colors (Unlocked) Open Box</t>
  </si>
  <si>
    <t xml:space="preserve">Apple iPhone 15 Pro Max 128GB Black iOS Smartphone 12MP Camera Used</t>
  </si>
  <si>
    <t xml:space="preserve">Apple iPhone 15 Pro 1TB Black Unlocked AT&amp;T T-Mobile Verizon 100% batt! 7641275</t>
  </si>
  <si>
    <t xml:space="preserve">Apple iPhone 15 Pro A2848 (Fully Unlocked) 512GB Blue Titanium (Excellent)</t>
  </si>
  <si>
    <t xml:space="preserve">Apple iPhone 15 Pro - 256 GB - White Titanium (Unlocked) - Excellent Condition</t>
  </si>
  <si>
    <t xml:space="preserve">Apple iPhone 15 Pro 256GB GSM / CDMA Unlocked Phone - White Titanium -  Used</t>
  </si>
  <si>
    <t xml:space="preserve">Apple iPhone 15 Pro A2848 Unlocked 256GB Black Titanium Good</t>
  </si>
  <si>
    <t xml:space="preserve">Apple iPhone 15 Pro 256GB Unlocked AT&amp;T T-Mobile Verizon Very Good Condition</t>
  </si>
  <si>
    <t xml:space="preserve">Apple iPhone 15 Pro A2848 256GB Unlocked - Very Good Condition</t>
  </si>
  <si>
    <t xml:space="preserve">Apple iPhone 15 Pro - 128 GB - Blue Titanium (AT&amp;T)</t>
  </si>
  <si>
    <t xml:space="preserve">Apple iPhone 15 Pro Unlocked, 128GB</t>
  </si>
  <si>
    <t xml:space="preserve">Factory Unlocked Apple iPhone 15 Pro 128GB Black Titanium MTQM3LL/A</t>
  </si>
  <si>
    <t xml:space="preserve">iPhone 15 Pro 128GB Blue Titanium, Unlocked</t>
  </si>
  <si>
    <t xml:space="preserve">Apple iPhone 15 Plus - 512GB - Pink</t>
  </si>
  <si>
    <t xml:space="preserve">Apple iPhone 15 Plus 512GB Unlocked AT&amp;T T-Mobile Verizon Very Good Condition</t>
  </si>
  <si>
    <t xml:space="preserve">Apple iPhone 15 Plus 256GB Unlocked AT&amp;T T-Mobile Verizon Very Good Condition</t>
  </si>
  <si>
    <t xml:space="preserve">Apple iPhone 15 Plus 128GB Unlocked Blue</t>
  </si>
  <si>
    <t xml:space="preserve">Apple iPhone 15 Plus 128GB Unlocked - Good</t>
  </si>
  <si>
    <t xml:space="preserve">Apple iPhone 15 Plus - 128 GB - Black (Unlocked)</t>
  </si>
  <si>
    <t xml:space="preserve">Apple iPhone 15 Plus 128GB Unlocked - Very Good</t>
  </si>
  <si>
    <t xml:space="preserve">Apple iPhone 15 Plus 128GB - Fully Unlocked - VERY GOOD Condition</t>
  </si>
  <si>
    <t xml:space="preserve">Apple iPhone 15 Plus A2847 128GB Smartphone Fully Unlocked - Very Good</t>
  </si>
  <si>
    <t xml:space="preserve">Apple iPhone 15 Plus 128GB Unlocked AT&amp;T T-Mobile Verizon Very Good Condition</t>
  </si>
  <si>
    <t xml:space="preserve">Apple iPhone 15 Plus 128GB Unlocked - Excellent</t>
  </si>
  <si>
    <t xml:space="preserve">iphone 15 plus 128gb unlocked black</t>
  </si>
  <si>
    <t xml:space="preserve">Apple iPhone 15 Smartphone 512GB, Black, Unlocked, 100%</t>
  </si>
  <si>
    <t xml:space="preserve">Apple iPhone 15 eSim (5G) GSM/CDMA Factory Unlocked  512GB | 256GB | 128GB</t>
  </si>
  <si>
    <t xml:space="preserve">Poor - Apple iPhone 15 256GB - Black (AT&amp;T ONLY) Smartphone - Free Shipping</t>
  </si>
  <si>
    <t xml:space="preserve">Apple iPhone 15 - 256 GB - Blue (Unlocked) - Excellent Condition</t>
  </si>
  <si>
    <t xml:space="preserve">Apple iPhone 15 - 256 GB - White Titanium  (Unlocked) W/ Accessories</t>
  </si>
  <si>
    <t xml:space="preserve">Apple iPhone 15 Unlocked 128GB White</t>
  </si>
  <si>
    <t xml:space="preserve">New (Other)</t>
  </si>
  <si>
    <t xml:space="preserve">Iphone 15 128gb unlocked</t>
  </si>
  <si>
    <t xml:space="preserve">Apple iPhone 15 A2846 Unlocked 128GB Black C</t>
  </si>
  <si>
    <t xml:space="preserve">Apple iPhone 15 A2846 Unlocked 128GB Pink C</t>
  </si>
  <si>
    <t xml:space="preserve">Apple iPhone 15 128GB Black Factory Unlocked Excellent</t>
  </si>
  <si>
    <t xml:space="preserve">Apple iPhone 15 128GB Unlocked 6.1in Black iOS  Minor Wear And Scratches</t>
  </si>
  <si>
    <t xml:space="preserve">Apple iPhone 15 - 128GB- Black - Good Condition - Unlocked (Canada)</t>
  </si>
  <si>
    <t xml:space="preserve">Unlocked Apple iPhone 15 128GB 26.5.2 Black MTLV3LL/A</t>
  </si>
  <si>
    <t xml:space="preserve">Apple iPhone 15 - 128GB - Black - T-Mobile - OPEN BOX LOW USE</t>
  </si>
  <si>
    <t xml:space="preserve">Apple iPhone 15 128GB Black FACTORY UNLOCKED-fully Tested 83% Battery</t>
  </si>
  <si>
    <t xml:space="preserve">Apple iPhone 15 A3090 128GB Unlocked Good Condition All Colors</t>
  </si>
  <si>
    <t xml:space="preserve">Apple iPhone 15 - 128 GB - Black (Unlocked) GREAT W/ OR1GINAL B0X</t>
  </si>
  <si>
    <t xml:space="preserve">Apple iPhone 15 128GB Unlocked - Good</t>
  </si>
  <si>
    <t xml:space="preserve">Apple iPhone 15 128GB white 6.1in iOS A16 48MP GSM</t>
  </si>
  <si>
    <t xml:space="preserve">Apple iPhone 15 Fully Unlocked 6.1in - 128GB - eSIM -Good</t>
  </si>
  <si>
    <t xml:space="preserve">Apple iPhone 15 6.1'' 128GB 256GB 512GB Unlocked All Colors - CPO</t>
  </si>
  <si>
    <t xml:space="preserve">Apple iPhone 15 128GB Unlocked Black w/ Box 91% Battery Health - Very Good</t>
  </si>
  <si>
    <t xml:space="preserve">Apple iPhone 15 128GB - 5G  Fully Unlocked- VERY GOOD Condition</t>
  </si>
  <si>
    <t xml:space="preserve">Apple iPhone 15 128GB Unlocked - Excellent</t>
  </si>
  <si>
    <t xml:space="preserve">Apple iPhone 15 128GB Factory Unlocked AT&amp;T T-Mobile Verizon Very Good Condition</t>
  </si>
  <si>
    <t xml:space="preserve">Apple iPhone 15 - 128 GB - Blue (Unlocked)</t>
  </si>
  <si>
    <t xml:space="preserve">Apple iPhone 15 128GB Black LTE Cellular MTLV3LL/A</t>
  </si>
  <si>
    <t xml:space="preserve">Apple iPhone 15 5G 128 GB  Black (Factory Unlocked) 99% Batt NEW OTHER SEALED</t>
  </si>
  <si>
    <t xml:space="preserve">Apple iPhone 15 5G 128 GB  Black (Factory Unlocked) 100% Batt NEW OTHER SEALED</t>
  </si>
  <si>
    <t xml:space="preserve">Jul 25, 2026</t>
  </si>
  <si>
    <t xml:space="preserve">Apple iPhone 14 Pro Max 1TB, Silver - Factory Unlocked Very Good</t>
  </si>
  <si>
    <t xml:space="preserve">Apple iPhone 14 Pro Max 512 GB Gray (Unlocked) (incl. cases &amp; screen protectors)</t>
  </si>
  <si>
    <t xml:space="preserve">Unlocked Apple iPhone 14 Pro Max 512GB 26.5 Space Black MQ8X3LL/A</t>
  </si>
  <si>
    <t xml:space="preserve">Apple iPhone 14 Pro Max 512GB Smartphone A2651 (Unlocked) - Silver</t>
  </si>
  <si>
    <t xml:space="preserve">Jun 15, 2026</t>
  </si>
  <si>
    <t xml:space="preserve">Apple iPhone 14 Pro Max 512GB, Deep Purple -  Factory Unlocked Very Good</t>
  </si>
  <si>
    <t xml:space="preserve">Apple iPhone 14 Pro Max - 256 GB - Space Black (T-Mobile)</t>
  </si>
  <si>
    <t xml:space="preserve">Apple iPhone 14 Pro Max 256GB Smartphone A2651 (Unlocked) - Deep Purple</t>
  </si>
  <si>
    <t xml:space="preserve">Apple iPhone 14 Pro Max 256GB Unlocked - Used Poor</t>
  </si>
  <si>
    <t xml:space="preserve">Apple iPhone 14 Pro Max A2651 Unlocked 256GB Deep Purple C</t>
  </si>
  <si>
    <t xml:space="preserve">Apple iPhone 14 Pro Max - 256 GB - Silver (Unlocked)</t>
  </si>
  <si>
    <t xml:space="preserve">Apple iPhone 14 Pro Max 256GB Network Unlocked Excellent Condition</t>
  </si>
  <si>
    <t xml:space="preserve">SEE DESCRIPTION Apple iPhone 14 Pro Max 128GB Unlocked Black + 4 Cases</t>
  </si>
  <si>
    <t xml:space="preserve">Apple iPhone 14 Pro Max AT&amp;T Locked, White/Silver, 128GB</t>
  </si>
  <si>
    <t xml:space="preserve">Apple iPhone 14 Pro Max - 128GB 256GB 512GB 1TB - All Colors - Good Condition</t>
  </si>
  <si>
    <t xml:space="preserve">Factory Unlocked Apple iPhone 14 Pro Max 128GB Silver MQ8P3LL/A</t>
  </si>
  <si>
    <t xml:space="preserve">Apple iPhone 14 Pro Max 128GB Purple iOS Smartphone 12MP Camera Used</t>
  </si>
  <si>
    <t xml:space="preserve">Apple iPhone 14 Pro Max - 128 GB - Space Black (Unlocked) Excellent Condition</t>
  </si>
  <si>
    <t xml:space="preserve">Apple iPhone 14 Pro Max 128GB  Factory Unlocked Very Good</t>
  </si>
  <si>
    <t xml:space="preserve">Apple iPhone 14 Pro Max 128GB Network Unlocked Excellent Condition</t>
  </si>
  <si>
    <t xml:space="preserve">Iphone 14 Pro Max, 128GB, Deep Purple, NEW. Please read before buying.</t>
  </si>
  <si>
    <t xml:space="preserve">APPLE IPHONE 14 PRO MAX 128GB 256GB 512GB 1TB (FACTORY UNLOCKED) COLORS ✤SEALED✤</t>
  </si>
  <si>
    <t xml:space="preserve">Apple iPhone 14 Pro - 512 GB - Deep Purple (Unlocked)</t>
  </si>
  <si>
    <t xml:space="preserve">Jun 12, 2026</t>
  </si>
  <si>
    <t xml:space="preserve">Apple iPhone 14 Pro 512GB, Space Black - Factory Unlocked Very Good</t>
  </si>
  <si>
    <t xml:space="preserve">Apple iPhone 14 Pro 512GB, Silver - Factory Unlocked Very Good</t>
  </si>
  <si>
    <t xml:space="preserve">AT&amp;T, Verizon, T-Mobile, Sprint</t>
  </si>
  <si>
    <t xml:space="preserve">Apple iPhone 14 Pro 256GB Unlocked Good Condition</t>
  </si>
  <si>
    <t xml:space="preserve">Apple iPhone 14 Pro 256GB Unlocked - Gold</t>
  </si>
  <si>
    <t xml:space="preserve">Unlocked Apple iPhone 14 Pro A2650 256GB BH83% Deep Purple</t>
  </si>
  <si>
    <t xml:space="preserve">Apple iPhone 14 Pro 256GB Purple Unlocked A/B Grade Good to Excellent Condition</t>
  </si>
  <si>
    <t xml:space="preserve">Apple iPhone 14 Pro 256GB Unlocked - Very Good</t>
  </si>
  <si>
    <t xml:space="preserve">Apple iPhone 14 Pro 128GB Gold Unlocked Slate Style Smartphone</t>
  </si>
  <si>
    <t xml:space="preserve">Iphone 14 Pro 128gb Dark Purple Unlocked</t>
  </si>
  <si>
    <t xml:space="preserve">Apple iPhone 14 Pro 128GB Purple iOS Unlocked w/ Box and Bundle</t>
  </si>
  <si>
    <t xml:space="preserve">Apple iPhone 14 Pro 128GB - Unlocked - Used -  Excellent Condition</t>
  </si>
  <si>
    <t xml:space="preserve">Apple iPhone 14 Pro 128GB, Silver - Factory Unlocked Very Good</t>
  </si>
  <si>
    <t xml:space="preserve">Apple iPhone 14 Pro A2650 128GB Network Unlocked Very Good Condition</t>
  </si>
  <si>
    <t xml:space="preserve">May 6, 2026</t>
  </si>
  <si>
    <t xml:space="preserve">Apple iPhone 14 Plus 512GB, Purple - Factory Unlocked Very Good</t>
  </si>
  <si>
    <t xml:space="preserve">Jun 21, 2026</t>
  </si>
  <si>
    <t xml:space="preserve">Apple iPhone 14 Plus 512GB Midnight - Factory Unlocked Very Good</t>
  </si>
  <si>
    <t xml:space="preserve">New Apple iPhone 14 Plus A2632 512GB Factory Unlocked All Mobile Carriers Colors</t>
  </si>
  <si>
    <t xml:space="preserve">Apple iPhone 14 Plus 256GB No Face ID Factory Unlocked Very Good Condition</t>
  </si>
  <si>
    <t xml:space="preserve">Apple iPhone 14 Plus 256GB Unlocked AT&amp;T T-Mobile Verizon Very Good Condition</t>
  </si>
  <si>
    <t xml:space="preserve">Apple iPhone 14 Plus A2632 256GB Unlocked - Very Good Refurbished</t>
  </si>
  <si>
    <t xml:space="preserve">Apple iPhone 14 Plus A2632 Unlocked 128GB Midnight C-</t>
  </si>
  <si>
    <t xml:space="preserve">Apple iPhone 14 Plus 128GB Smartphone A2632 (Unlocked) - Midnight</t>
  </si>
  <si>
    <t xml:space="preserve">iPhone 14 Plus 128GB</t>
  </si>
  <si>
    <t xml:space="preserve">Apple iPhone 14 Plus 128GB Smartphone A2632 (Unlocked) - Purple</t>
  </si>
  <si>
    <t xml:space="preserve">Apple iPhone 14 Plus 128GB Purple 12MP iOS Smartphone Bar (MQ3U3LL/A) Unlocked</t>
  </si>
  <si>
    <t xml:space="preserve">Unlocked Apple iPhone 14 Plus - 128GB - Blue - MQ3W3LL/A</t>
  </si>
  <si>
    <t xml:space="preserve">Apple iPhone 14 Plus 128GB Fully Unlocked - VERY GOOD Condition</t>
  </si>
  <si>
    <t xml:space="preserve">Apple iPhone 14 Plus 128GB Smartphone A2632 (Unlocked) - Blue</t>
  </si>
  <si>
    <t xml:space="preserve">Jan 23, 2026</t>
  </si>
  <si>
    <t xml:space="preserve">Apple iPhone 14 Plus A2632 Xfinity Only 128GB Blue Very Good</t>
  </si>
  <si>
    <t xml:space="preserve">Apple iPhone 14 Plus 128GB Unlocked AT&amp;T T-Mobile Verizon Very Good Condition</t>
  </si>
  <si>
    <t xml:space="preserve">Apple iPhone 14 Plus 128GB Fully Unlocked - EXCELLENT Condition</t>
  </si>
  <si>
    <t xml:space="preserve">Apple iPhone 14 Plus 128GB Unlocked - Very Good</t>
  </si>
  <si>
    <t xml:space="preserve">New Apple iPhone 14 Plus A2632 128GB Factory Unlocked All Mobile Carriers Colors</t>
  </si>
  <si>
    <t xml:space="preserve">Apple iPhone 14 - 256 GB - Starlight (Unlocked) - Good Condition</t>
  </si>
  <si>
    <t xml:space="preserve">Apple iPhone 14 - 256 GB - Purple (Unlocked) A2649 MPW83LL/A w/ original box</t>
  </si>
  <si>
    <t xml:space="preserve">Apple iPhone 14 256GB Smartphone A2649 (Unlocked) - Midnight</t>
  </si>
  <si>
    <t xml:space="preserve">Apple iPhone 14, 256GB, Purple - Unlocked (READ)</t>
  </si>
  <si>
    <t xml:space="preserve">Apple iPhone 14 5G 256GB A2649 6.1" iOS Smartphone Factory Unlocked Excellent</t>
  </si>
  <si>
    <t xml:space="preserve">Apple iPhone 14 256GB Factory Unlocked All A2649 + Preinstalled Tempered Glass</t>
  </si>
  <si>
    <t xml:space="preserve">Apple iPhone 14 128GB Midnight MPUA3LL/A Carrier Locked- T-Mobile</t>
  </si>
  <si>
    <t xml:space="preserve">Apple iPhone 14 128GB Red Unlocked 5G iOS 6.1in 6GB RAM 12MP A1984</t>
  </si>
  <si>
    <t xml:space="preserve">Apple iPhone 14 128GB Smartphone A2649 (AT&amp;T) - Midnight</t>
  </si>
  <si>
    <t xml:space="preserve">Apple iPhone 14 128GB Smartphone A2649 (AT&amp;T) - Purple</t>
  </si>
  <si>
    <t xml:space="preserve">Apple iPhone 14 128GB Smartphone A2649 (Unlocked) - Midnight</t>
  </si>
  <si>
    <t xml:space="preserve">Apple iPhone 14 128GB Smartphone A2649 (Unlocked) - Product Red</t>
  </si>
  <si>
    <t xml:space="preserve">Unlocked Apple iPhone 14 A2649 128GB Red iOS</t>
  </si>
  <si>
    <t xml:space="preserve">Apple iPhone 14 - 128 GB - Midnight (Unlocked) Original Box</t>
  </si>
  <si>
    <t xml:space="preserve">Apple iPhone 14 128GB Smartphone A2649 (Unlocked) - Blue</t>
  </si>
  <si>
    <t xml:space="preserve">Apple iPhone 14 128GB Midnight A2649 MPUA3LL/A Unlocked Clean ESN Good (AMX)</t>
  </si>
  <si>
    <t xml:space="preserve">Factory Unlocked Apple iPhone 14 128GB Purple MPUX3LL/A</t>
  </si>
  <si>
    <t xml:space="preserve">Apple iPhone 14 - 128GB (Unlocked)   Works Great - Scratches  (#M190)</t>
  </si>
  <si>
    <t xml:space="preserve">Apple iPhone 14 128GB Unlocked - Used Poor</t>
  </si>
  <si>
    <t xml:space="preserve">Apple iPhone 14 128GB Midnight A2649 MPUA3LL/A Unlocked Clean ESN Good (DSM)</t>
  </si>
  <si>
    <t xml:space="preserve">Unlocked Apple iPhone 14  100%battery health Mpua3ll/a Excellent</t>
  </si>
  <si>
    <t xml:space="preserve">Apple iPhone 14 128GB Unlocked - Good</t>
  </si>
  <si>
    <t xml:space="preserve">Apple iPhone 14 - 128 GB - Midnight (Unlocked)</t>
  </si>
  <si>
    <t xml:space="preserve">Apple iPhone 14 A2882 128GB  Fully Unlocked - iphone 14 mpvn3ta/a</t>
  </si>
  <si>
    <t xml:space="preserve">Apple iPhone 14 128GB Black - UNLOCKED</t>
  </si>
  <si>
    <t xml:space="preserve">U.S. Cellular</t>
  </si>
  <si>
    <t xml:space="preserve">Sep 1, 2025</t>
  </si>
  <si>
    <t xml:space="preserve">Apple iPhone 14 A2649 US Cellular Only 128GB Red Very Good</t>
  </si>
  <si>
    <t xml:space="preserve">Jan 4, 2026</t>
  </si>
  <si>
    <t xml:space="preserve">Apple iPhone 14 A2649 US Cellular Only 128GB Yellow Very Good</t>
  </si>
  <si>
    <t xml:space="preserve">Apple iPhone 14 128GB Factory Unlocked Very Good</t>
  </si>
  <si>
    <t xml:space="preserve">Apple iPhone 14 128GB 6.1" Fully Unlocked - 100% Functional - Excellent</t>
  </si>
  <si>
    <t xml:space="preserve">Apple iPhone 14 128GB - 5G Fully Unlocked - VERY GOOD Condition</t>
  </si>
  <si>
    <t xml:space="preserve">Apple iPhone 14 128GB - 5G Fully Unlocked  - EXCELLENT Condition</t>
  </si>
  <si>
    <t xml:space="preserve">Apple iPhone 14  128 GB Midnight (Unlocked) 97% Original Bat NEW OTHER</t>
  </si>
  <si>
    <t xml:space="preserve">Apple iPhone 14 128GB Unlocked Excellent Condition - All Colors</t>
  </si>
  <si>
    <t xml:space="preserve">🍎 Apple iPhone 14 128GB Midnight 🖤 FACTORY SEALED/CARRIER UNLOCKED APPROVED ⭐️</t>
  </si>
  <si>
    <t xml:space="preserve">New Apple iPhone 14 128GB Red A2649 128GB Factory Unlocked All Carriers</t>
  </si>
  <si>
    <t xml:space="preserve">APPLE IPHONE 14 - 128GB (FACTORY UNLOCKED) MIDNIGHT ⚫️ ✅1 YEAR WARANTY✅ ✤SEALED✤</t>
  </si>
  <si>
    <t xml:space="preserve">IPhone 13 Pro Max 1TB</t>
  </si>
  <si>
    <t xml:space="preserve">Jun 17, 2026</t>
  </si>
  <si>
    <t xml:space="preserve">Apple iPhone 13 Pro Max 1TB, Graphite - Factory Unlocked Very Good</t>
  </si>
  <si>
    <t xml:space="preserve">Apple iPhone 13 Pro Max 1TB Unlocked Graphite Battery life 86% iOS 26.5.2</t>
  </si>
  <si>
    <t xml:space="preserve">Jul 10, 2026</t>
  </si>
  <si>
    <t xml:space="preserve">Apple iPhone 13 Pro Max 1TB, Sierra Blue - Factory Unlocked Very Good</t>
  </si>
  <si>
    <t xml:space="preserve">Jul 21, 2026</t>
  </si>
  <si>
    <t xml:space="preserve">Apple iPhone 13 Pro Max 1TB, Silver - Factory Unlocked Very Good</t>
  </si>
  <si>
    <t xml:space="preserve">iphone 13 pro max 512gb unlocked</t>
  </si>
  <si>
    <t xml:space="preserve">Apple iPhone 13 Pro Max 512GB Unlocked Fair Condition - All Colors</t>
  </si>
  <si>
    <t xml:space="preserve">iPhone 13 Pro Max 512GB Unlocked (no Sim restrictions) BlueColor 100% NewBattery</t>
  </si>
  <si>
    <t xml:space="preserve">Jun 23, 2026</t>
  </si>
  <si>
    <t xml:space="preserve">Apple iPhone 13 Pro Max 512GB, Graphite - Factory Unlocked Very Good</t>
  </si>
  <si>
    <t xml:space="preserve">Apple iPhone 13 Pro Max 512GB, Sierra Blue - Factory Unlocked Very Good</t>
  </si>
  <si>
    <t xml:space="preserve">Apple iPhone 13 Pro Max 256GB Blue Unlocked iOS 12MP Bar Smartphone</t>
  </si>
  <si>
    <t xml:space="preserve">Jun 18, 2026</t>
  </si>
  <si>
    <t xml:space="preserve">Apple iPhone 13 Pro Max 256GB, Graphite - Factory Unlocked Very Good</t>
  </si>
  <si>
    <t xml:space="preserve">Apple iPhone 13 Pro Max LOCKED AT&amp;T</t>
  </si>
  <si>
    <t xml:space="preserve">Apple iPhone 13 Pro Max Unlocked/was Verizon</t>
  </si>
  <si>
    <t xml:space="preserve">Apple iPhone 13 Pro Max 128GB Blue Unlocked Used Good Battery 79%</t>
  </si>
  <si>
    <t xml:space="preserve">iPhone 13 Pro Max 128GB Sierra Blue Unlocked Very Good Condition</t>
  </si>
  <si>
    <t xml:space="preserve">Jun 9, 2026</t>
  </si>
  <si>
    <t xml:space="preserve">Apple iPhone 13 Pro Max 128GB, Graphite - Factory Unlocked Very Good</t>
  </si>
  <si>
    <t xml:space="preserve">Apple iPhone 13 Pro Max 128GB, Alpine Green - Factory Unlocked Very Good</t>
  </si>
  <si>
    <t xml:space="preserve">Jul 13, 2026</t>
  </si>
  <si>
    <t xml:space="preserve">Apple iPhone 13 Pro Max 128GB, Sierra Blue - Factory Unlocked Very Good</t>
  </si>
  <si>
    <t xml:space="preserve">Jun 5, 2026</t>
  </si>
  <si>
    <t xml:space="preserve">Apple iPhone 13 Pro Max 128GB, Gold - Factory Unlocked Very Good</t>
  </si>
  <si>
    <t xml:space="preserve">Apple iPhone 13 Pro Max 128GB - Fully Unlocked - 5G - EXCELLENT Condition</t>
  </si>
  <si>
    <t xml:space="preserve">Apple iPhone 13 Pro 256GB Gold Unlocked 12MP Bluetooth Wi-Fi</t>
  </si>
  <si>
    <t xml:space="preserve">Apple iPhone 13 Pro 256GB Unlocked Good Condition - All Colors</t>
  </si>
  <si>
    <t xml:space="preserve">Jul 18, 2026</t>
  </si>
  <si>
    <t xml:space="preserve">Apple iPhone 13 Pro 256GB, Graphite - Factory Unlocked Very Good</t>
  </si>
  <si>
    <t xml:space="preserve">Jul 15, 2026</t>
  </si>
  <si>
    <t xml:space="preserve">Apple iPhone 13 Pro 256GB, Alpine Green - Factory Unlocked Very Good</t>
  </si>
  <si>
    <t xml:space="preserve">Apple iPhone 13 Pro 256GB, Sierra Blue - Factory Unlocked Very Good</t>
  </si>
  <si>
    <t xml:space="preserve">Apple iPhone 13 Pro 256GB, Silver - Factory Unlocked Very Good</t>
  </si>
  <si>
    <t xml:space="preserve">iPhone 13 Pro - 128GB - Sierra Blue (Unlocked)</t>
  </si>
  <si>
    <t xml:space="preserve">Apple iPhone 13 Pro Unlocked 128GB. UNLOCKED Sierra Blue 85% Battery Health</t>
  </si>
  <si>
    <t xml:space="preserve">Apple iPhone 13 Pro 128GB Unlocked Fair Condition - All Colors</t>
  </si>
  <si>
    <t xml:space="preserve">Apple iPhone 13 PRO 128 GB Green (Unlocked) Excellent Condition</t>
  </si>
  <si>
    <t xml:space="preserve">Apple iPhone 13 Pro 128GB Unlocked - Good</t>
  </si>
  <si>
    <t xml:space="preserve">Jul 17, 2026</t>
  </si>
  <si>
    <t xml:space="preserve">Apple iPhone 13 Pro 128GB, Graphite - Factory Unlocked Very Good</t>
  </si>
  <si>
    <t xml:space="preserve">Apple iPhone 13 Pro 128GB, Sierra Blue - Factory Unlocked Very Good</t>
  </si>
  <si>
    <t xml:space="preserve">Jul 11, 2026</t>
  </si>
  <si>
    <t xml:space="preserve">Apple iPhone 13 Pro 128GB, Gold - Factory Unlocked Very Good</t>
  </si>
  <si>
    <t xml:space="preserve">Apple iPhone 13 Pro 128GB, Silver - Factory Unlocked Very Good</t>
  </si>
  <si>
    <t xml:space="preserve">Apple iPhone 13 512GB Unlocked Pink</t>
  </si>
  <si>
    <t xml:space="preserve">Apple iPhone 13 256GB - Fully Unlocked - VERY GOOD Condition</t>
  </si>
  <si>
    <t xml:space="preserve">Apple iPhone 13 256GB A2482- Unlocked Midnight- Grade D</t>
  </si>
  <si>
    <t xml:space="preserve">Apple iPhone 13 256GB Factory Unlocked Very Good</t>
  </si>
  <si>
    <t xml:space="preserve">Apple iPhone 13 128GB Midnight iOS Smartphone, Slate Style</t>
  </si>
  <si>
    <t xml:space="preserve">SIMPLE Mobile</t>
  </si>
  <si>
    <t xml:space="preserve">May 30, 2026</t>
  </si>
  <si>
    <t xml:space="preserve">Apple iPhone 13 -  128GB (SIMPLE MOBILE ONLY)  🔋100% BATT 🔋(3-MONTHS INCLUDED)</t>
  </si>
  <si>
    <t xml:space="preserve">Apple iPhone 13 Starlight 128GB MLA43LL/A (Verizon Only) 86% Battery Health</t>
  </si>
  <si>
    <t xml:space="preserve">iphone 13 - 128GB - Black (unlocked)</t>
  </si>
  <si>
    <t xml:space="preserve">APPLE IPHONE 13 - 128 GB (SIMPLE Mobile) With 3 Months FREE EXCELLENT🔋 BAT 100%</t>
  </si>
  <si>
    <t xml:space="preserve">Apple iPhone 13 128GB Blue (AT&amp;T) Excellent Condition – 92% Battery Health READ</t>
  </si>
  <si>
    <t xml:space="preserve">Unlocked Apple iPhone 13 5G - 128 GB Storage, 4 GB RAM - Good Screen &amp; IMEI</t>
  </si>
  <si>
    <t xml:space="preserve">Apple iPhone 13 - 128GB Unlocked Midnight</t>
  </si>
  <si>
    <t xml:space="preserve">Apple iPhone 13 128GB White Unlocked iOS Smartphone w/ Original Box</t>
  </si>
  <si>
    <t xml:space="preserve">Straight Talk</t>
  </si>
  <si>
    <t xml:space="preserve">iphone 13 straight talk new</t>
  </si>
  <si>
    <t xml:space="preserve">iPhone 13 Unlocked 128 GB Red (Product) Used But Excellent Condition</t>
  </si>
  <si>
    <t xml:space="preserve">Apple iPhone 13 128GB, Midnight, Unlocked</t>
  </si>
  <si>
    <t xml:space="preserve">iPhone 13 128GB Unlocked - Mightnight Black</t>
  </si>
  <si>
    <t xml:space="preserve">iphone 13 unlocked</t>
  </si>
  <si>
    <t xml:space="preserve">Apple iPhone 13  128GB Unlocked FACTORY UNLOCKED  - EXCELLENT</t>
  </si>
  <si>
    <t xml:space="preserve">Apple iPhone 13 - 128 GB - Pink (Unlocked)</t>
  </si>
  <si>
    <t xml:space="preserve">Apple iPhone 13 A2482 Unlocked 128GB Green B-</t>
  </si>
  <si>
    <t xml:space="preserve">Apple iPhone 13 - 128 GB - Green (Unlocked)</t>
  </si>
  <si>
    <t xml:space="preserve">iPhone 13 - Factory Unlocked - 128GB - Black - Good</t>
  </si>
  <si>
    <t xml:space="preserve">Factory Unlocked Apple iPhone 13 128GB Green MNG63LL/A</t>
  </si>
  <si>
    <t xml:space="preserve">Factory Unlocked Apple iPhone 13 128GB Midnight MLA23LL/A</t>
  </si>
  <si>
    <t xml:space="preserve">Apple iPhone 13 - 128GB - Unlocked - Starlight - Grade D</t>
  </si>
  <si>
    <t xml:space="preserve">Apple iPhone 13 - 128GB - Midnight (Unlocked)</t>
  </si>
  <si>
    <t xml:space="preserve">Apple iPhone 13 128GB Fully Unlocked - Very Good Condition</t>
  </si>
  <si>
    <t xml:space="preserve">Apple iPhone 13 128GB Unlocked - Very Good</t>
  </si>
  <si>
    <t xml:space="preserve">Apple iPhone 13 128GB Unlocked  - EXCELLENT Condition</t>
  </si>
  <si>
    <t xml:space="preserve">Apple iPhone 13 128 GB 5G Midnight Black(Fully Unlocked)  NEW OTHER SEALED</t>
  </si>
  <si>
    <t xml:space="preserve">Apple iPhone 13 128GB Unlocked - Excellent</t>
  </si>
  <si>
    <t xml:space="preserve">Apr 13, 2024</t>
  </si>
  <si>
    <t xml:space="preserve">Apple iPhone 13 128GB 6.1" Verizon Unlocked, Pink</t>
  </si>
  <si>
    <t xml:space="preserve">May 5, 2026</t>
  </si>
  <si>
    <t xml:space="preserve">Apple iPhone 13 Mini 512GB, Midnight - Factory Unlocked Very Good</t>
  </si>
  <si>
    <t xml:space="preserve">Jun 16, 2026</t>
  </si>
  <si>
    <t xml:space="preserve">Apple iPhone 13 Mini 512GB, Pink - Factory Unlocked Very Good</t>
  </si>
  <si>
    <t xml:space="preserve">Apple iPhone 13 Mini 256GB, Blue - Factory Unlocked Very Good</t>
  </si>
  <si>
    <t xml:space="preserve">Apple iPhone 13 mini - 128 GB - Pink (Verizon)</t>
  </si>
  <si>
    <t xml:space="preserve">Apple iPhone 13 mini A2481 Unlocked 128GB Blue C-</t>
  </si>
  <si>
    <t xml:space="preserve">Apple iPhone 13 mini A2481 Unlocked 128GB Midnight C-</t>
  </si>
  <si>
    <t xml:space="preserve">Apple iPhone 13 mini - 128GB - Pink  (Unlocked) *LCD Line*</t>
  </si>
  <si>
    <t xml:space="preserve">Apple iPhone 13 mini Unlocked 128GB Pink - Excellent Condition</t>
  </si>
  <si>
    <t xml:space="preserve">Apple iPhone 13 mini - 128 GB - Green (Unlocked)</t>
  </si>
  <si>
    <t xml:space="preserve">Apple iPhone 13 Mini 128GB - Fully Unlocked - VERY GOOD Condition</t>
  </si>
  <si>
    <t xml:space="preserve">Apple iPhone 13 Mini 5G 5.4" 128GB 256GB 512GB Factory Unlocked (Any Carrier)</t>
  </si>
  <si>
    <t xml:space="preserve">iphone 12 pro max unlocked 256gb</t>
  </si>
  <si>
    <t xml:space="preserve">Apple iPhone 12 Pro Max 256GB Graphite Unlocked in very good condition</t>
  </si>
  <si>
    <t xml:space="preserve">iPhone 12 Pro Max 256 Unlocked Excellent Dark Blue</t>
  </si>
  <si>
    <t xml:space="preserve">Jan 27, 2026</t>
  </si>
  <si>
    <t xml:space="preserve">Apple iPhone 12 Pro Max - 256GB - AT&amp;T - Graphite - Excellent</t>
  </si>
  <si>
    <t xml:space="preserve">iPhone 12 Pro Max Unlocked 128GB</t>
  </si>
  <si>
    <t xml:space="preserve">iPhone 12 Pro Max Unlocked</t>
  </si>
  <si>
    <t xml:space="preserve">Apple iPhone 12 Pro Max 128GB Unlocked Gray Slate iOS Triple Rear Camera</t>
  </si>
  <si>
    <t xml:space="preserve">iPhone 12 Pro Max Blue</t>
  </si>
  <si>
    <t xml:space="preserve">*Carrier Unlocked* Apple iPhone 12 Pro Max 128GB Blue Spectrum 12MP Camera</t>
  </si>
  <si>
    <t xml:space="preserve">Apple  iPhone 12 Pro Max 5G 128GB Factory Unlocked CDMA + GSM - EXCELLENT</t>
  </si>
  <si>
    <t xml:space="preserve">Apple iPhone 12 Pro Max  128GB Fully Unlocked - EXCELLENT Condition</t>
  </si>
  <si>
    <t xml:space="preserve">Apple iPhone 12 Pro Max 128GB Unlocked Excellent Condition - All Colors</t>
  </si>
  <si>
    <t xml:space="preserve">Apple iPhone 12 Pro Max 128GB, Pacific Blue - Factory Unlocked Very Good</t>
  </si>
  <si>
    <t xml:space="preserve">iPhone 12 Pro</t>
  </si>
  <si>
    <t xml:space="preserve">Apple iPhone 12 Pro, 128GB - Fully Unlocked - Used</t>
  </si>
  <si>
    <t xml:space="preserve">Nov 27, 2025</t>
  </si>
  <si>
    <t xml:space="preserve">Apple iPhone 12 Pro A2341 T-Mobile Only 128GB Pacific Blue B-</t>
  </si>
  <si>
    <t xml:space="preserve">Apple iPhone 12 Pro 128 GB Graphite AT&amp;T, T-Mobile, Verizon Unlocked</t>
  </si>
  <si>
    <t xml:space="preserve">Apple iPhone 12 Pro 128GB   Gold T-Mobile Unlocked -EXCELLENT 9+/10!</t>
  </si>
  <si>
    <t xml:space="preserve">Apple iPhone 12 256GB, Purple - Factory Unlocked Very Good</t>
  </si>
  <si>
    <t xml:space="preserve">Apple iPhone 12 256GB, Black - Factory Unlocked Very Good</t>
  </si>
  <si>
    <t xml:space="preserve">iPhone 12 Phone Blue 128GB Unlocked And Recently Reset For The Next Person</t>
  </si>
  <si>
    <t xml:space="preserve">USED WHITE GSM UNLOCKED iPhone 12, 128GB A2172 MGFA3LL/A 91% BATTERY, iOS 26.0.1</t>
  </si>
  <si>
    <t xml:space="preserve">Jun 24, 2026</t>
  </si>
  <si>
    <t xml:space="preserve">Apple iPhone 12 128GB, Product Red - Factory Unlocked Very Good</t>
  </si>
  <si>
    <t xml:space="preserve">Apple iPhone 12 128GB, Black - Factory Unlocked Very Good</t>
  </si>
  <si>
    <t xml:space="preserve">Apple iPhone 12 64GB, Black, Verizon, 5G, iOS 12MP Camera, 6.1" Display</t>
  </si>
  <si>
    <t xml:space="preserve">Apple iPhone 12 64GB Blue Unlocked 5.4in iOS Smartphone 12MP Camera</t>
  </si>
  <si>
    <t xml:space="preserve">Apple iPhone 12 BLACK 64GB - Sim Unlocked *Description*</t>
  </si>
  <si>
    <t xml:space="preserve">Apple iPhone 12 64GB Purple Unlocked 6.1in</t>
  </si>
  <si>
    <t xml:space="preserve">Apple iPhone 12 A2172 Black 64GB 12MP 4GB RAM MGFL3LL/A T-Mobile 78% Battery</t>
  </si>
  <si>
    <t xml:space="preserve">Apple iPhone 12 64GB Blue</t>
  </si>
  <si>
    <t xml:space="preserve">Unlocked Apple iPhone 12 64GB Black MGF43LL/A Battery Health 95% - 12D</t>
  </si>
  <si>
    <t xml:space="preserve">Apple iPhone 12 - 64 GB - Black (Unlocked) Smartphone</t>
  </si>
  <si>
    <t xml:space="preserve">Apple iPhone 12 64GB</t>
  </si>
  <si>
    <t xml:space="preserve">Apple iPhone 12 - 64GB - Unlocked (Read Description)</t>
  </si>
  <si>
    <t xml:space="preserve">Apple iPhone 12 64GB Blue (Unlocked) Model A2172 (GSM + CDMA). Tested</t>
  </si>
  <si>
    <t xml:space="preserve">Apple iPhone 12 64GB Unlocked Blue A2172 | 99% BH | Fully Functional</t>
  </si>
  <si>
    <t xml:space="preserve">Apple iPhone 12 - 64GB Unlocked Black</t>
  </si>
  <si>
    <t xml:space="preserve">Apple iPhone 12 64GB, Unlocked, Black</t>
  </si>
  <si>
    <t xml:space="preserve">Apple iPhone 12 64 GB navy blue unlocked battery 79%</t>
  </si>
  <si>
    <t xml:space="preserve">Apple iPhone 12 - 64GB Unlocked Black iPhone 12</t>
  </si>
  <si>
    <t xml:space="preserve">Jul 30, 2026</t>
  </si>
  <si>
    <t xml:space="preserve">Apple iPhone 12 64GB Black 12MP Camera Bar Smartphone 71% Battery Health</t>
  </si>
  <si>
    <t xml:space="preserve">Apple iPhone 12 A2172 (Xfinity Mobile Only) 64GB Red (Excellent)</t>
  </si>
  <si>
    <t xml:space="preserve">Apple iPhone 12 A2172 64 GB (Unlocked) - Black | Grade: B/C, 80%+ Bat</t>
  </si>
  <si>
    <t xml:space="preserve">Apple iPhone 12 A2172 Unlocked 64GB Blue C</t>
  </si>
  <si>
    <t xml:space="preserve">iPhone 12 64GB Unlocked Excellent All Colors</t>
  </si>
  <si>
    <t xml:space="preserve">Apple iPhone 12 64GB Black A2172 (Unlocked) EXCELLENT 1 YR Warranty</t>
  </si>
  <si>
    <t xml:space="preserve">Apple iPhone 12 64GB - Fully Unlocked - EXCELLENT Condition</t>
  </si>
  <si>
    <t xml:space="preserve">Apple iPhone 12 - 64GB - Black (Unlocked) BRAND NEW CONDITION - NEVER USED</t>
  </si>
  <si>
    <t xml:space="preserve">Apple iPhone 12 64GB Black Unlocked - NEW &amp; SEALED + Bonus</t>
  </si>
  <si>
    <t xml:space="preserve">Jul 26, 2026</t>
  </si>
  <si>
    <t xml:space="preserve">Apple iPhone 12 Mini 256GB, Blue - Factory Unlocked Very Good</t>
  </si>
  <si>
    <t xml:space="preserve">Jul 23, 2026</t>
  </si>
  <si>
    <t xml:space="preserve">Apple iPhone 12 Mini 256GB, Green - Factory Unlocked Very Good</t>
  </si>
  <si>
    <t xml:space="preserve">Apple iPhone 12 Mini 256GB, Black - Factory Unlocked Very Good</t>
  </si>
  <si>
    <t xml:space="preserve">Apple iPhone 12 Mini 256GB, (PRODUCT)RED - Factory Unlocked Very Good</t>
  </si>
  <si>
    <t xml:space="preserve">Apple iPhone 12 Mini 5.4" A2176 128GB Blue (Unlocked) - Very Good ( New Battery)</t>
  </si>
  <si>
    <t xml:space="preserve">Apple iPhone 12 mini - 64 GB - Black (Unlocked)</t>
  </si>
  <si>
    <t xml:space="preserve">Apple iPhone 12 mini - 64 GB - Black  AT&amp;T Locked Tested Working</t>
  </si>
  <si>
    <t xml:space="preserve">Jun 13, 2026</t>
  </si>
  <si>
    <t xml:space="preserve">Apple iPhone 12 Mini 64GB, Purple - Factory Unlocked Very Good</t>
  </si>
  <si>
    <t xml:space="preserve">Jan 3, 2026</t>
  </si>
  <si>
    <t xml:space="preserve">Apple iPhone 11 Pro Max - 256 GB - Space Gray (Unlocked) A2161 Used BH Under 80%</t>
  </si>
  <si>
    <t xml:space="preserve">Feb 2, 2026</t>
  </si>
  <si>
    <t xml:space="preserve">Apple iPhone 11 Pro Max A2161 Unlocked 256GB Space Gray (Excellent)</t>
  </si>
  <si>
    <t xml:space="preserve">Apple iPhone 11 Pro Max 256GB Unlocked Fair Condition - All Colors</t>
  </si>
  <si>
    <t xml:space="preserve">Apple iPhone 11 Pro Max 128GB Gold T-Mobile 12MP Camera Smartphone</t>
  </si>
  <si>
    <t xml:space="preserve">Apple iPhone 11 Pro Max - 64GB 256GB 512GB (Unlocked) Choose Color - Average</t>
  </si>
  <si>
    <t xml:space="preserve">Apple iPhone 11 Pro Max 64GB 256GB 512GB Unlocked Smartphone - Good</t>
  </si>
  <si>
    <t xml:space="preserve">Apple iPhone 11 Pro 256GB Gold w/ Low Battery Health</t>
  </si>
  <si>
    <t xml:space="preserve">Apple iPhone 11 128GB Black iOS Smartphone 12MP Camera Bar Style</t>
  </si>
  <si>
    <t xml:space="preserve">Apple iPhone 11 128GB A2111 Black (Unlocked) Smartphone - good condition</t>
  </si>
  <si>
    <t xml:space="preserve">Apple iPhone 11 - 128GB - Unlocked (Read Description)</t>
  </si>
  <si>
    <t xml:space="preserve">APPLE IPHONE 11 - A2111 w BOX - Black - 128 GB - Verizon - EXCELLENT USED</t>
  </si>
  <si>
    <t xml:space="preserve">Apple iPhone 11 - 128 GB - Black (Unlocked)</t>
  </si>
  <si>
    <t xml:space="preserve">Apple iPhone 11 Product Black 64GB - - Find my lock - Parts/Repair</t>
  </si>
  <si>
    <t xml:space="preserve">Apple iPhone 11 - 64 GB - Purple (Unlocked) Read Description... (Shadow)</t>
  </si>
  <si>
    <t xml:space="preserve">Apple iPhone 11 Black Smartphone 12MP Camera iOS Slate Style Built-In Memory</t>
  </si>
  <si>
    <t xml:space="preserve">Apple iPhone 11 - 64GB - White (Unlocked) Please Read Description</t>
  </si>
  <si>
    <t xml:space="preserve">WEAK BATTERY GSM UNLOCKED iPhone 11, 64GB A2111 MHC43LL/A iOS 18.6.2 68% BATTERY</t>
  </si>
  <si>
    <t xml:space="preserve">Apple iPhone 11 - 64 GB - Black (Unlocked)</t>
  </si>
  <si>
    <t xml:space="preserve">Apple iPhone 11 64GB</t>
  </si>
  <si>
    <t xml:space="preserve">Unlocked Apple iPhone 11 4G - 64 GB Storage, 4 GB RAM - Good Screen &amp; IMEI</t>
  </si>
  <si>
    <t xml:space="preserve">iphone 11 unlocked 64gb batt health over 80</t>
  </si>
  <si>
    <t xml:space="preserve">Apple iPhone 11 64GB Unlocked Fair Condition - All Colors</t>
  </si>
  <si>
    <t xml:space="preserve">Apple iPhone 11 - 64 GB - White (Unlocked) - Good Condition</t>
  </si>
  <si>
    <t xml:space="preserve">iPhone Air</t>
  </si>
  <si>
    <t xml:space="preserve">Jan 12, 2026</t>
  </si>
  <si>
    <t xml:space="preserve">Apple iPhone Air  - Unlocked 512GB Space Black - New Open Box</t>
  </si>
  <si>
    <t xml:space="preserve">Network</t>
  </si>
  <si>
    <t xml:space="preserve">Capacity</t>
  </si>
  <si>
    <t xml:space="preserve">Vendors</t>
  </si>
  <si>
    <t xml:space="preserve">Lowest Offer</t>
  </si>
  <si>
    <t xml:space="preserve">Median Offer</t>
  </si>
  <si>
    <t xml:space="preserve">Highest Offer</t>
  </si>
  <si>
    <t xml:space="preserve">POOR</t>
  </si>
  <si>
    <t xml:space="preserve">FAULTY</t>
  </si>
  <si>
    <t xml:space="preserve">Every capture had NETWORK = Unlocked. Capacity and condition are what vary. Captured 2026-08-02 from sellcell.com/phones/apple/iphone-17-pro-max.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</si>
</sst>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\$#,##0.00"/>
    <numFmt numFmtId="168" formatCode="\$#,##0.00;[RED]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9C57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DDE3EF"/>
        <bgColor rgb="FFF2F5FA"/>
      </patternFill>
    </fill>
    <fill>
      <patternFill patternType="solid">
        <fgColor rgb="FF2E6B4F"/>
        <bgColor rgb="FF008080"/>
      </patternFill>
    </fill>
    <fill>
      <patternFill patternType="solid">
        <fgColor rgb="FF7A5B1E"/>
        <bgColor rgb="FF9C5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2E6B4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A5B1E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1E"/>
      <rgbColor rgb="FF800080"/>
      <rgbColor rgb="FF2E6B4F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563C1"/>
      <rgbColor rgb="FFDDE3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bstock.com/superior/auction/auction/view/id/50370/" TargetMode="External"/><Relationship Id="rId2" Type="http://schemas.openxmlformats.org/officeDocument/2006/relationships/hyperlink" Target="https://bstock.com/superior/auction/auction/view/id/50424/" TargetMode="External"/><Relationship Id="rId3" Type="http://schemas.openxmlformats.org/officeDocument/2006/relationships/hyperlink" Target="https://bstock.com/superior/auction/auction/view/id/50429/" TargetMode="External"/><Relationship Id="rId4" Type="http://schemas.openxmlformats.org/officeDocument/2006/relationships/hyperlink" Target="https://bstock.com/superior/auction/auction/view/id/50423/" TargetMode="External"/><Relationship Id="rId5" Type="http://schemas.openxmlformats.org/officeDocument/2006/relationships/hyperlink" Target="https://bstock.com/superior/auction/auction/view/id/50427/" TargetMode="External"/><Relationship Id="rId6" Type="http://schemas.openxmlformats.org/officeDocument/2006/relationships/hyperlink" Target="https://bstock.com/superior/auction/auction/view/id/50422/" TargetMode="External"/><Relationship Id="rId7" Type="http://schemas.openxmlformats.org/officeDocument/2006/relationships/hyperlink" Target="https://bstock.com/superior/auction/auction/view/id/50428/" TargetMode="External"/><Relationship Id="rId8" Type="http://schemas.openxmlformats.org/officeDocument/2006/relationships/hyperlink" Target="https://bstock.com/superior/auction/auction/view/id/50412/" TargetMode="External"/><Relationship Id="rId9" Type="http://schemas.openxmlformats.org/officeDocument/2006/relationships/hyperlink" Target="https://bstock.com/superior/auction/auction/view/id/50416/" TargetMode="External"/><Relationship Id="rId10" Type="http://schemas.openxmlformats.org/officeDocument/2006/relationships/hyperlink" Target="https://bstock.com/superior/auction/auction/view/id/50411/" TargetMode="External"/><Relationship Id="rId11" Type="http://schemas.openxmlformats.org/officeDocument/2006/relationships/hyperlink" Target="https://bstock.com/superior/auction/auction/view/id/50417/" TargetMode="External"/><Relationship Id="rId12" Type="http://schemas.openxmlformats.org/officeDocument/2006/relationships/hyperlink" Target="https://bstock.com/superior/auction/auction/view/id/50410/" TargetMode="External"/><Relationship Id="rId13" Type="http://schemas.openxmlformats.org/officeDocument/2006/relationships/hyperlink" Target="https://bstock.com/superior/auction/auction/view/id/50415/" TargetMode="External"/><Relationship Id="rId14" Type="http://schemas.openxmlformats.org/officeDocument/2006/relationships/hyperlink" Target="https://bstock.com/superior/auction/auction/view/id/50420/" TargetMode="External"/><Relationship Id="rId15" Type="http://schemas.openxmlformats.org/officeDocument/2006/relationships/hyperlink" Target="https://bstock.com/superior/auction/auction/view/id/50414/" TargetMode="External"/><Relationship Id="rId16" Type="http://schemas.openxmlformats.org/officeDocument/2006/relationships/hyperlink" Target="https://bstock.com/superior/auction/auction/view/id/50409/" TargetMode="External"/><Relationship Id="rId17" Type="http://schemas.openxmlformats.org/officeDocument/2006/relationships/hyperlink" Target="https://bstock.com/superior/auction/auction/view/id/50419/" TargetMode="External"/><Relationship Id="rId18" Type="http://schemas.openxmlformats.org/officeDocument/2006/relationships/hyperlink" Target="https://bstock.com/superior/auction/auction/view/id/50348/" TargetMode="External"/><Relationship Id="rId19" Type="http://schemas.openxmlformats.org/officeDocument/2006/relationships/hyperlink" Target="https://bstock.com/superior/auction/auction/view/id/50426/" TargetMode="External"/><Relationship Id="rId20" Type="http://schemas.openxmlformats.org/officeDocument/2006/relationships/hyperlink" Target="https://bstock.com/superior/auction/auction/view/id/50421/" TargetMode="External"/><Relationship Id="rId21" Type="http://schemas.openxmlformats.org/officeDocument/2006/relationships/hyperlink" Target="https://bstock.com/superior/auction/auction/view/id/50369/" TargetMode="External"/><Relationship Id="rId22" Type="http://schemas.openxmlformats.org/officeDocument/2006/relationships/hyperlink" Target="https://bstock.com/superior/auction/auction/view/id/50408/" TargetMode="External"/><Relationship Id="rId23" Type="http://schemas.openxmlformats.org/officeDocument/2006/relationships/hyperlink" Target="https://bstock.com/superior/auction/auction/view/id/50407/" TargetMode="External"/><Relationship Id="rId24" Type="http://schemas.openxmlformats.org/officeDocument/2006/relationships/hyperlink" Target="https://bstock.com/superior/auction/auction/view/id/50406/" TargetMode="External"/><Relationship Id="rId25" Type="http://schemas.openxmlformats.org/officeDocument/2006/relationships/hyperlink" Target="https://bstock.com/superior/auction/auction/view/id/50400/" TargetMode="External"/><Relationship Id="rId26" Type="http://schemas.openxmlformats.org/officeDocument/2006/relationships/hyperlink" Target="https://bstock.com/superior/auction/auction/view/id/50343/" TargetMode="External"/><Relationship Id="rId27" Type="http://schemas.openxmlformats.org/officeDocument/2006/relationships/hyperlink" Target="https://bstock.com/superior/auction/auction/view/id/50347/" TargetMode="External"/><Relationship Id="rId28" Type="http://schemas.openxmlformats.org/officeDocument/2006/relationships/hyperlink" Target="https://bstock.com/superior/auction/auction/view/id/50413/" TargetMode="External"/><Relationship Id="rId29" Type="http://schemas.openxmlformats.org/officeDocument/2006/relationships/hyperlink" Target="https://bstock.com/superior/auction/auction/view/id/50399/" TargetMode="External"/><Relationship Id="rId30" Type="http://schemas.openxmlformats.org/officeDocument/2006/relationships/hyperlink" Target="https://bstock.com/superior/auction/auction/view/id/50405/" TargetMode="External"/><Relationship Id="rId31" Type="http://schemas.openxmlformats.org/officeDocument/2006/relationships/hyperlink" Target="https://bstock.com/superior/auction/auction/view/id/50345/" TargetMode="External"/><Relationship Id="rId32" Type="http://schemas.openxmlformats.org/officeDocument/2006/relationships/hyperlink" Target="https://bstock.com/superior/auction/auction/view/id/50354/" TargetMode="External"/><Relationship Id="rId33" Type="http://schemas.openxmlformats.org/officeDocument/2006/relationships/hyperlink" Target="https://bstock.com/superior/auction/auction/view/id/50404/" TargetMode="External"/><Relationship Id="rId34" Type="http://schemas.openxmlformats.org/officeDocument/2006/relationships/hyperlink" Target="https://bstock.com/superior/auction/auction/view/id/50397/" TargetMode="External"/><Relationship Id="rId35" Type="http://schemas.openxmlformats.org/officeDocument/2006/relationships/hyperlink" Target="https://bstock.com/superior/auction/auction/view/id/50349/" TargetMode="External"/><Relationship Id="rId36" Type="http://schemas.openxmlformats.org/officeDocument/2006/relationships/hyperlink" Target="https://bstock.com/superior/auction/auction/view/id/50360/" TargetMode="External"/><Relationship Id="rId37" Type="http://schemas.openxmlformats.org/officeDocument/2006/relationships/hyperlink" Target="https://bstock.com/superior/auction/auction/view/id/50398/" TargetMode="External"/><Relationship Id="rId38" Type="http://schemas.openxmlformats.org/officeDocument/2006/relationships/hyperlink" Target="https://bstock.com/superior/auction/auction/view/id/50418/" TargetMode="External"/><Relationship Id="rId39" Type="http://schemas.openxmlformats.org/officeDocument/2006/relationships/hyperlink" Target="https://bstock.com/superior/auction/auction/view/id/50403/" TargetMode="External"/><Relationship Id="rId40" Type="http://schemas.openxmlformats.org/officeDocument/2006/relationships/hyperlink" Target="https://bstock.com/superior/auction/auction/view/id/50396/" TargetMode="External"/><Relationship Id="rId41" Type="http://schemas.openxmlformats.org/officeDocument/2006/relationships/hyperlink" Target="https://bstock.com/superior/auction/auction/view/id/50337/" TargetMode="External"/><Relationship Id="rId42" Type="http://schemas.openxmlformats.org/officeDocument/2006/relationships/hyperlink" Target="https://bstock.com/superior/auction/auction/view/id/50331/" TargetMode="External"/><Relationship Id="rId43" Type="http://schemas.openxmlformats.org/officeDocument/2006/relationships/hyperlink" Target="https://bstock.com/superior/auction/auction/view/id/50353/" TargetMode="External"/><Relationship Id="rId44" Type="http://schemas.openxmlformats.org/officeDocument/2006/relationships/hyperlink" Target="https://bstock.com/superior/auction/auction/view/id/50395/" TargetMode="External"/><Relationship Id="rId45" Type="http://schemas.openxmlformats.org/officeDocument/2006/relationships/hyperlink" Target="https://bstock.com/superior/auction/auction/view/id/50402/" TargetMode="External"/><Relationship Id="rId46" Type="http://schemas.openxmlformats.org/officeDocument/2006/relationships/hyperlink" Target="https://bstock.com/superior/auction/auction/view/id/50335/" TargetMode="External"/><Relationship Id="rId47" Type="http://schemas.openxmlformats.org/officeDocument/2006/relationships/hyperlink" Target="https://bstock.com/superior/auction/auction/view/id/50355/" TargetMode="External"/><Relationship Id="rId48" Type="http://schemas.openxmlformats.org/officeDocument/2006/relationships/hyperlink" Target="https://bstock.com/superior/auction/auction/view/id/50401/" TargetMode="External"/><Relationship Id="rId49" Type="http://schemas.openxmlformats.org/officeDocument/2006/relationships/hyperlink" Target="https://bstock.com/superior/auction/auction/view/id/50394/" TargetMode="External"/><Relationship Id="rId50" Type="http://schemas.openxmlformats.org/officeDocument/2006/relationships/hyperlink" Target="https://bstock.com/superior/auction/auction/view/id/50332/" TargetMode="External"/><Relationship Id="rId51" Type="http://schemas.openxmlformats.org/officeDocument/2006/relationships/hyperlink" Target="https://bstock.com/superior/auction/auction/view/id/50357/" TargetMode="External"/><Relationship Id="rId52" Type="http://schemas.openxmlformats.org/officeDocument/2006/relationships/hyperlink" Target="https://bstock.com/superior/auction/auction/view/id/50393/" TargetMode="External"/><Relationship Id="rId53" Type="http://schemas.openxmlformats.org/officeDocument/2006/relationships/hyperlink" Target="https://bstock.com/superior/auction/auction/view/id/50368/" TargetMode="External"/><Relationship Id="rId54" Type="http://schemas.openxmlformats.org/officeDocument/2006/relationships/hyperlink" Target="https://bstock.com/superior/auction/auction/view/id/50344/" TargetMode="External"/><Relationship Id="rId55" Type="http://schemas.openxmlformats.org/officeDocument/2006/relationships/hyperlink" Target="https://bstock.com/superior/auction/auction/view/id/50358/" TargetMode="External"/><Relationship Id="rId56" Type="http://schemas.openxmlformats.org/officeDocument/2006/relationships/hyperlink" Target="https://bstock.com/superior/auction/auction/view/id/50387/" TargetMode="External"/><Relationship Id="rId57" Type="http://schemas.openxmlformats.org/officeDocument/2006/relationships/hyperlink" Target="https://bstock.com/superior/auction/auction/view/id/50392/" TargetMode="External"/><Relationship Id="rId58" Type="http://schemas.openxmlformats.org/officeDocument/2006/relationships/hyperlink" Target="https://bstock.com/superior/auction/auction/view/id/50346/" TargetMode="External"/><Relationship Id="rId59" Type="http://schemas.openxmlformats.org/officeDocument/2006/relationships/hyperlink" Target="https://bstock.com/superior/auction/auction/view/id/50359/" TargetMode="External"/><Relationship Id="rId60" Type="http://schemas.openxmlformats.org/officeDocument/2006/relationships/hyperlink" Target="https://bstock.com/superior/auction/auction/view/id/50350/" TargetMode="External"/><Relationship Id="rId61" Type="http://schemas.openxmlformats.org/officeDocument/2006/relationships/hyperlink" Target="https://bstock.com/superior/auction/auction/view/id/50334/" TargetMode="External"/><Relationship Id="rId62" Type="http://schemas.openxmlformats.org/officeDocument/2006/relationships/hyperlink" Target="https://bstock.com/superior/auction/auction/view/id/50356/" TargetMode="External"/><Relationship Id="rId63" Type="http://schemas.openxmlformats.org/officeDocument/2006/relationships/hyperlink" Target="https://bstock.com/superior/auction/auction/view/id/50386/" TargetMode="External"/><Relationship Id="rId64" Type="http://schemas.openxmlformats.org/officeDocument/2006/relationships/hyperlink" Target="https://bstock.com/superior/auction/auction/view/id/50391/" TargetMode="External"/><Relationship Id="rId65" Type="http://schemas.openxmlformats.org/officeDocument/2006/relationships/hyperlink" Target="https://bstock.com/superior/auction/auction/view/id/50341/" TargetMode="External"/><Relationship Id="rId66" Type="http://schemas.openxmlformats.org/officeDocument/2006/relationships/hyperlink" Target="https://bstock.com/superior/auction/auction/view/id/50352/" TargetMode="External"/><Relationship Id="rId67" Type="http://schemas.openxmlformats.org/officeDocument/2006/relationships/hyperlink" Target="https://bstock.com/superior/auction/auction/view/id/50385/" TargetMode="External"/><Relationship Id="rId68" Type="http://schemas.openxmlformats.org/officeDocument/2006/relationships/hyperlink" Target="https://bstock.com/superior/auction/auction/view/id/50383/" TargetMode="External"/><Relationship Id="rId69" Type="http://schemas.openxmlformats.org/officeDocument/2006/relationships/hyperlink" Target="https://bstock.com/superior/auction/auction/view/id/50390/" TargetMode="External"/><Relationship Id="rId70" Type="http://schemas.openxmlformats.org/officeDocument/2006/relationships/hyperlink" Target="https://bstock.com/superior/auction/auction/view/id/50338/" TargetMode="External"/><Relationship Id="rId71" Type="http://schemas.openxmlformats.org/officeDocument/2006/relationships/hyperlink" Target="https://bstock.com/superior/auction/auction/view/id/50330/" TargetMode="External"/><Relationship Id="rId72" Type="http://schemas.openxmlformats.org/officeDocument/2006/relationships/hyperlink" Target="https://bstock.com/superior/auction/auction/view/id/50388/" TargetMode="External"/><Relationship Id="rId73" Type="http://schemas.openxmlformats.org/officeDocument/2006/relationships/hyperlink" Target="https://bstock.com/superior/auction/auction/view/id/50384/" TargetMode="External"/><Relationship Id="rId74" Type="http://schemas.openxmlformats.org/officeDocument/2006/relationships/hyperlink" Target="https://bstock.com/superior/auction/auction/view/id/50342/" TargetMode="External"/><Relationship Id="rId75" Type="http://schemas.openxmlformats.org/officeDocument/2006/relationships/hyperlink" Target="https://bstock.com/superior/auction/auction/view/id/50382/" TargetMode="External"/><Relationship Id="rId76" Type="http://schemas.openxmlformats.org/officeDocument/2006/relationships/hyperlink" Target="https://bstock.com/superior/auction/auction/view/id/50336/" TargetMode="External"/><Relationship Id="rId77" Type="http://schemas.openxmlformats.org/officeDocument/2006/relationships/hyperlink" Target="https://bstock.com/superior/auction/auction/view/id/50389/" TargetMode="External"/><Relationship Id="rId78" Type="http://schemas.openxmlformats.org/officeDocument/2006/relationships/hyperlink" Target="https://bstock.com/superior/auction/auction/view/id/50333/" TargetMode="External"/><Relationship Id="rId79" Type="http://schemas.openxmlformats.org/officeDocument/2006/relationships/hyperlink" Target="https://bstock.com/superior/auction/auction/view/id/50378/" TargetMode="External"/><Relationship Id="rId80" Type="http://schemas.openxmlformats.org/officeDocument/2006/relationships/hyperlink" Target="https://bstock.com/superior/auction/auction/view/id/50381/" TargetMode="External"/><Relationship Id="rId81" Type="http://schemas.openxmlformats.org/officeDocument/2006/relationships/hyperlink" Target="https://bstock.com/superior/auction/auction/view/id/50377/" TargetMode="External"/><Relationship Id="rId82" Type="http://schemas.openxmlformats.org/officeDocument/2006/relationships/hyperlink" Target="https://bstock.com/superior/auction/auction/view/id/50376/" TargetMode="External"/><Relationship Id="rId83" Type="http://schemas.openxmlformats.org/officeDocument/2006/relationships/hyperlink" Target="https://bstock.com/superior/auction/auction/view/id/50380/" TargetMode="External"/><Relationship Id="rId84" Type="http://schemas.openxmlformats.org/officeDocument/2006/relationships/hyperlink" Target="https://bstock.com/superior/auction/auction/view/id/50372/" TargetMode="External"/><Relationship Id="rId85" Type="http://schemas.openxmlformats.org/officeDocument/2006/relationships/hyperlink" Target="https://bstock.com/superior/auction/auction/view/id/50371/" TargetMode="External"/><Relationship Id="rId86" Type="http://schemas.openxmlformats.org/officeDocument/2006/relationships/hyperlink" Target="https://bstock.com/superior/auction/auction/view/id/50340/" TargetMode="External"/><Relationship Id="rId87" Type="http://schemas.openxmlformats.org/officeDocument/2006/relationships/hyperlink" Target="https://bstock.com/superior/auction/auction/view/id/50351/" TargetMode="External"/><Relationship Id="rId88" Type="http://schemas.openxmlformats.org/officeDocument/2006/relationships/hyperlink" Target="https://bstock.com/superior/auction/auction/view/id/50365/" TargetMode="External"/><Relationship Id="rId89" Type="http://schemas.openxmlformats.org/officeDocument/2006/relationships/hyperlink" Target="https://bstock.com/superior/auction/auction/view/id/50425/" TargetMode="External"/><Relationship Id="rId90" Type="http://schemas.openxmlformats.org/officeDocument/2006/relationships/hyperlink" Target="https://bstock.com/superior/auction/auction/view/id/50362/" TargetMode="External"/><Relationship Id="rId91" Type="http://schemas.openxmlformats.org/officeDocument/2006/relationships/hyperlink" Target="https://bstock.com/superior/auction/auction/view/id/50339/" TargetMode="External"/><Relationship Id="rId92" Type="http://schemas.openxmlformats.org/officeDocument/2006/relationships/hyperlink" Target="https://bstock.com/superior/auction/auction/view/id/50366/" TargetMode="External"/><Relationship Id="rId93" Type="http://schemas.openxmlformats.org/officeDocument/2006/relationships/hyperlink" Target="https://bstock.com/superior/auction/auction/view/id/50363/" TargetMode="External"/><Relationship Id="rId94" Type="http://schemas.openxmlformats.org/officeDocument/2006/relationships/hyperlink" Target="https://bstock.com/superior/auction/auction/view/id/50367/" TargetMode="External"/><Relationship Id="rId95" Type="http://schemas.openxmlformats.org/officeDocument/2006/relationships/hyperlink" Target="https://bstock.com/superior/auction/auction/view/id/50364/" TargetMode="External"/><Relationship Id="rId96" Type="http://schemas.openxmlformats.org/officeDocument/2006/relationships/hyperlink" Target="https://bstock.com/superior/auction/auction/view/id/50361/" TargetMode="External"/><Relationship Id="rId9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/>
      <c r="B4" s="4" t="n">
        <v>0.02</v>
      </c>
      <c r="C4" s="5" t="s">
        <v>1</v>
      </c>
    </row>
    <row r="5" customFormat="false" ht="15" hidden="false" customHeight="false" outlineLevel="0" collapsed="false">
      <c r="A5" s="3" t="s">
        <v>2</v>
      </c>
      <c r="B5" s="4" t="n">
        <v>0</v>
      </c>
      <c r="C5" s="5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6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6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46"/>
  </cols>
  <sheetData>
    <row r="1" customFormat="false" ht="30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</row>
    <row r="2" customFormat="false" ht="15" hidden="false" customHeight="false" outlineLevel="0" collapsed="false">
      <c r="A2" s="8" t="n">
        <v>50370</v>
      </c>
      <c r="B2" s="9" t="s">
        <v>39</v>
      </c>
      <c r="C2" s="9" t="s">
        <v>40</v>
      </c>
      <c r="D2" s="8" t="s">
        <v>41</v>
      </c>
      <c r="E2" s="10" t="n">
        <v>20</v>
      </c>
      <c r="F2" s="9" t="s">
        <v>42</v>
      </c>
      <c r="G2" s="8" t="s">
        <v>43</v>
      </c>
      <c r="H2" s="11" t="n">
        <v>21200</v>
      </c>
      <c r="I2" s="11" t="n">
        <v>1060</v>
      </c>
      <c r="J2" s="11" t="n">
        <f aca="false">H2*Assumptions!$B$4</f>
        <v>424</v>
      </c>
      <c r="K2" s="11" t="n">
        <f aca="false">H2+J2</f>
        <v>21624</v>
      </c>
      <c r="L2" s="11" t="n">
        <f aca="false">IF(E2=0,"",K2/E2)</f>
        <v>1081.2</v>
      </c>
      <c r="M2" s="8" t="n">
        <v>24</v>
      </c>
      <c r="N2" s="8" t="s">
        <v>44</v>
      </c>
      <c r="O2" s="9" t="s">
        <v>45</v>
      </c>
      <c r="P2" s="12" t="s">
        <v>46</v>
      </c>
    </row>
    <row r="3" customFormat="false" ht="15" hidden="false" customHeight="false" outlineLevel="0" collapsed="false">
      <c r="A3" s="13" t="n">
        <v>50424</v>
      </c>
      <c r="B3" s="14" t="s">
        <v>39</v>
      </c>
      <c r="C3" s="14" t="s">
        <v>47</v>
      </c>
      <c r="D3" s="13" t="s">
        <v>48</v>
      </c>
      <c r="E3" s="15" t="n">
        <v>20</v>
      </c>
      <c r="F3" s="14" t="s">
        <v>49</v>
      </c>
      <c r="G3" s="13" t="s">
        <v>50</v>
      </c>
      <c r="H3" s="16" t="n">
        <v>16050</v>
      </c>
      <c r="I3" s="16" t="n">
        <v>802.5</v>
      </c>
      <c r="J3" s="16" t="n">
        <f aca="false">H3*Assumptions!$B$4</f>
        <v>321</v>
      </c>
      <c r="K3" s="16" t="n">
        <f aca="false">H3+J3</f>
        <v>16371</v>
      </c>
      <c r="L3" s="16" t="n">
        <f aca="false">IF(E3=0,"",K3/E3)</f>
        <v>818.55</v>
      </c>
      <c r="M3" s="13" t="n">
        <v>4</v>
      </c>
      <c r="N3" s="13" t="s">
        <v>44</v>
      </c>
      <c r="O3" s="14" t="s">
        <v>45</v>
      </c>
      <c r="P3" s="17" t="s">
        <v>51</v>
      </c>
    </row>
    <row r="4" customFormat="false" ht="15" hidden="false" customHeight="false" outlineLevel="0" collapsed="false">
      <c r="A4" s="8" t="n">
        <v>50429</v>
      </c>
      <c r="B4" s="9" t="s">
        <v>52</v>
      </c>
      <c r="C4" s="9" t="s">
        <v>47</v>
      </c>
      <c r="D4" s="8" t="s">
        <v>53</v>
      </c>
      <c r="E4" s="10" t="n">
        <v>20</v>
      </c>
      <c r="F4" s="9" t="s">
        <v>49</v>
      </c>
      <c r="G4" s="8" t="s">
        <v>50</v>
      </c>
      <c r="H4" s="11" t="n">
        <v>13050</v>
      </c>
      <c r="I4" s="11" t="n">
        <v>652.5</v>
      </c>
      <c r="J4" s="11" t="n">
        <f aca="false">H4*Assumptions!$B$4</f>
        <v>261</v>
      </c>
      <c r="K4" s="11" t="n">
        <f aca="false">H4+J4</f>
        <v>13311</v>
      </c>
      <c r="L4" s="11" t="n">
        <f aca="false">IF(E4=0,"",K4/E4)</f>
        <v>665.55</v>
      </c>
      <c r="M4" s="8" t="n">
        <v>7</v>
      </c>
      <c r="N4" s="8" t="s">
        <v>44</v>
      </c>
      <c r="O4" s="9" t="s">
        <v>45</v>
      </c>
      <c r="P4" s="12" t="s">
        <v>54</v>
      </c>
    </row>
    <row r="5" customFormat="false" ht="15" hidden="false" customHeight="false" outlineLevel="0" collapsed="false">
      <c r="A5" s="13" t="n">
        <v>50423</v>
      </c>
      <c r="B5" s="14" t="s">
        <v>55</v>
      </c>
      <c r="C5" s="14" t="s">
        <v>40</v>
      </c>
      <c r="D5" s="13" t="s">
        <v>48</v>
      </c>
      <c r="E5" s="15" t="n">
        <v>20</v>
      </c>
      <c r="F5" s="14" t="s">
        <v>42</v>
      </c>
      <c r="G5" s="13" t="s">
        <v>50</v>
      </c>
      <c r="H5" s="16" t="n">
        <v>11050</v>
      </c>
      <c r="I5" s="16" t="n">
        <v>552.5</v>
      </c>
      <c r="J5" s="16" t="n">
        <f aca="false">H5*Assumptions!$B$4</f>
        <v>221</v>
      </c>
      <c r="K5" s="16" t="n">
        <f aca="false">H5+J5</f>
        <v>11271</v>
      </c>
      <c r="L5" s="16" t="n">
        <f aca="false">IF(E5=0,"",K5/E5)</f>
        <v>563.55</v>
      </c>
      <c r="M5" s="13" t="n">
        <v>4</v>
      </c>
      <c r="N5" s="13" t="s">
        <v>44</v>
      </c>
      <c r="O5" s="14" t="s">
        <v>45</v>
      </c>
      <c r="P5" s="17" t="s">
        <v>56</v>
      </c>
    </row>
    <row r="6" customFormat="false" ht="15" hidden="false" customHeight="false" outlineLevel="0" collapsed="false">
      <c r="A6" s="8" t="n">
        <v>50427</v>
      </c>
      <c r="B6" s="9" t="s">
        <v>55</v>
      </c>
      <c r="C6" s="9" t="s">
        <v>47</v>
      </c>
      <c r="D6" s="8" t="s">
        <v>48</v>
      </c>
      <c r="E6" s="10" t="n">
        <v>20</v>
      </c>
      <c r="F6" s="9" t="s">
        <v>57</v>
      </c>
      <c r="G6" s="8" t="s">
        <v>50</v>
      </c>
      <c r="H6" s="11" t="n">
        <v>8500</v>
      </c>
      <c r="I6" s="11" t="n">
        <v>425</v>
      </c>
      <c r="J6" s="11" t="n">
        <f aca="false">H6*Assumptions!$B$4</f>
        <v>170</v>
      </c>
      <c r="K6" s="11" t="n">
        <f aca="false">H6+J6</f>
        <v>8670</v>
      </c>
      <c r="L6" s="11" t="n">
        <f aca="false">IF(E6=0,"",K6/E6)</f>
        <v>433.5</v>
      </c>
      <c r="M6" s="8" t="n">
        <v>0</v>
      </c>
      <c r="N6" s="8" t="s">
        <v>44</v>
      </c>
      <c r="O6" s="9" t="s">
        <v>45</v>
      </c>
      <c r="P6" s="12" t="s">
        <v>58</v>
      </c>
    </row>
    <row r="7" customFormat="false" ht="15" hidden="false" customHeight="false" outlineLevel="0" collapsed="false">
      <c r="A7" s="13" t="n">
        <v>50422</v>
      </c>
      <c r="B7" s="14" t="s">
        <v>55</v>
      </c>
      <c r="C7" s="14" t="s">
        <v>47</v>
      </c>
      <c r="D7" s="13" t="s">
        <v>53</v>
      </c>
      <c r="E7" s="15" t="n">
        <v>20</v>
      </c>
      <c r="F7" s="14" t="s">
        <v>57</v>
      </c>
      <c r="G7" s="13" t="s">
        <v>50</v>
      </c>
      <c r="H7" s="16" t="n">
        <v>8000</v>
      </c>
      <c r="I7" s="16" t="n">
        <v>400</v>
      </c>
      <c r="J7" s="16" t="n">
        <f aca="false">H7*Assumptions!$B$4</f>
        <v>160</v>
      </c>
      <c r="K7" s="16" t="n">
        <f aca="false">H7+J7</f>
        <v>8160</v>
      </c>
      <c r="L7" s="16" t="n">
        <f aca="false">IF(E7=0,"",K7/E7)</f>
        <v>408</v>
      </c>
      <c r="M7" s="13" t="n">
        <v>1</v>
      </c>
      <c r="N7" s="13" t="s">
        <v>44</v>
      </c>
      <c r="O7" s="14" t="s">
        <v>45</v>
      </c>
      <c r="P7" s="17" t="s">
        <v>59</v>
      </c>
    </row>
    <row r="8" customFormat="false" ht="15" hidden="false" customHeight="false" outlineLevel="0" collapsed="false">
      <c r="A8" s="8" t="n">
        <v>50428</v>
      </c>
      <c r="B8" s="9" t="s">
        <v>55</v>
      </c>
      <c r="C8" s="9" t="s">
        <v>47</v>
      </c>
      <c r="D8" s="8" t="s">
        <v>60</v>
      </c>
      <c r="E8" s="10" t="n">
        <v>20</v>
      </c>
      <c r="F8" s="9" t="s">
        <v>57</v>
      </c>
      <c r="G8" s="8" t="s">
        <v>50</v>
      </c>
      <c r="H8" s="11" t="n">
        <v>7800</v>
      </c>
      <c r="I8" s="11" t="n">
        <v>390</v>
      </c>
      <c r="J8" s="11" t="n">
        <f aca="false">H8*Assumptions!$B$4</f>
        <v>156</v>
      </c>
      <c r="K8" s="11" t="n">
        <f aca="false">H8+J8</f>
        <v>7956</v>
      </c>
      <c r="L8" s="11" t="n">
        <f aca="false">IF(E8=0,"",K8/E8)</f>
        <v>397.8</v>
      </c>
      <c r="M8" s="8" t="n">
        <v>0</v>
      </c>
      <c r="N8" s="8" t="s">
        <v>44</v>
      </c>
      <c r="O8" s="9" t="s">
        <v>45</v>
      </c>
      <c r="P8" s="12" t="s">
        <v>61</v>
      </c>
    </row>
    <row r="9" customFormat="false" ht="15" hidden="false" customHeight="false" outlineLevel="0" collapsed="false">
      <c r="A9" s="13" t="n">
        <v>50412</v>
      </c>
      <c r="B9" s="14" t="s">
        <v>62</v>
      </c>
      <c r="C9" s="14" t="s">
        <v>63</v>
      </c>
      <c r="D9" s="13" t="s">
        <v>60</v>
      </c>
      <c r="E9" s="15" t="n">
        <v>20</v>
      </c>
      <c r="F9" s="14" t="s">
        <v>57</v>
      </c>
      <c r="G9" s="13" t="s">
        <v>50</v>
      </c>
      <c r="H9" s="16" t="n">
        <v>12000</v>
      </c>
      <c r="I9" s="16" t="n">
        <v>600</v>
      </c>
      <c r="J9" s="16" t="n">
        <f aca="false">H9*Assumptions!$B$4</f>
        <v>240</v>
      </c>
      <c r="K9" s="16" t="n">
        <f aca="false">H9+J9</f>
        <v>12240</v>
      </c>
      <c r="L9" s="16" t="n">
        <f aca="false">IF(E9=0,"",K9/E9)</f>
        <v>612</v>
      </c>
      <c r="M9" s="13" t="n">
        <v>2</v>
      </c>
      <c r="N9" s="13" t="s">
        <v>44</v>
      </c>
      <c r="O9" s="14" t="s">
        <v>45</v>
      </c>
      <c r="P9" s="17" t="s">
        <v>64</v>
      </c>
    </row>
    <row r="10" customFormat="false" ht="15" hidden="false" customHeight="false" outlineLevel="0" collapsed="false">
      <c r="A10" s="8" t="n">
        <v>50416</v>
      </c>
      <c r="B10" s="9" t="s">
        <v>62</v>
      </c>
      <c r="C10" s="9" t="s">
        <v>40</v>
      </c>
      <c r="D10" s="8" t="s">
        <v>48</v>
      </c>
      <c r="E10" s="10" t="n">
        <v>20</v>
      </c>
      <c r="F10" s="9" t="s">
        <v>57</v>
      </c>
      <c r="G10" s="8" t="s">
        <v>50</v>
      </c>
      <c r="H10" s="11" t="n">
        <v>12000</v>
      </c>
      <c r="I10" s="11" t="n">
        <v>600</v>
      </c>
      <c r="J10" s="11" t="n">
        <f aca="false">H10*Assumptions!$B$4</f>
        <v>240</v>
      </c>
      <c r="K10" s="11" t="n">
        <f aca="false">H10+J10</f>
        <v>12240</v>
      </c>
      <c r="L10" s="11" t="n">
        <f aca="false">IF(E10=0,"",K10/E10)</f>
        <v>612</v>
      </c>
      <c r="M10" s="8" t="n">
        <v>5</v>
      </c>
      <c r="N10" s="8" t="s">
        <v>44</v>
      </c>
      <c r="O10" s="9" t="s">
        <v>45</v>
      </c>
      <c r="P10" s="12" t="s">
        <v>65</v>
      </c>
    </row>
    <row r="11" customFormat="false" ht="15" hidden="false" customHeight="false" outlineLevel="0" collapsed="false">
      <c r="A11" s="13" t="n">
        <v>50411</v>
      </c>
      <c r="B11" s="14" t="s">
        <v>62</v>
      </c>
      <c r="C11" s="14" t="s">
        <v>47</v>
      </c>
      <c r="D11" s="13" t="s">
        <v>48</v>
      </c>
      <c r="E11" s="15" t="n">
        <v>20</v>
      </c>
      <c r="F11" s="14" t="s">
        <v>49</v>
      </c>
      <c r="G11" s="13" t="s">
        <v>50</v>
      </c>
      <c r="H11" s="16" t="n">
        <v>11150</v>
      </c>
      <c r="I11" s="16" t="n">
        <v>557.5</v>
      </c>
      <c r="J11" s="16" t="n">
        <f aca="false">H11*Assumptions!$B$4</f>
        <v>223</v>
      </c>
      <c r="K11" s="16" t="n">
        <f aca="false">H11+J11</f>
        <v>11373</v>
      </c>
      <c r="L11" s="16" t="n">
        <f aca="false">IF(E11=0,"",K11/E11)</f>
        <v>568.65</v>
      </c>
      <c r="M11" s="13" t="n">
        <v>8</v>
      </c>
      <c r="N11" s="13" t="s">
        <v>44</v>
      </c>
      <c r="O11" s="14" t="s">
        <v>45</v>
      </c>
      <c r="P11" s="17" t="s">
        <v>66</v>
      </c>
    </row>
    <row r="12" customFormat="false" ht="15" hidden="false" customHeight="false" outlineLevel="0" collapsed="false">
      <c r="A12" s="8" t="n">
        <v>50417</v>
      </c>
      <c r="B12" s="9" t="s">
        <v>62</v>
      </c>
      <c r="C12" s="9" t="s">
        <v>47</v>
      </c>
      <c r="D12" s="8" t="s">
        <v>53</v>
      </c>
      <c r="E12" s="10" t="n">
        <v>20</v>
      </c>
      <c r="F12" s="9" t="s">
        <v>49</v>
      </c>
      <c r="G12" s="8" t="s">
        <v>50</v>
      </c>
      <c r="H12" s="11" t="n">
        <v>10200</v>
      </c>
      <c r="I12" s="11" t="n">
        <v>510</v>
      </c>
      <c r="J12" s="11" t="n">
        <f aca="false">H12*Assumptions!$B$4</f>
        <v>204</v>
      </c>
      <c r="K12" s="11" t="n">
        <f aca="false">H12+J12</f>
        <v>10404</v>
      </c>
      <c r="L12" s="11" t="n">
        <f aca="false">IF(E12=0,"",K12/E12)</f>
        <v>520.2</v>
      </c>
      <c r="M12" s="8" t="n">
        <v>2</v>
      </c>
      <c r="N12" s="8" t="s">
        <v>44</v>
      </c>
      <c r="O12" s="9" t="s">
        <v>45</v>
      </c>
      <c r="P12" s="12" t="s">
        <v>67</v>
      </c>
    </row>
    <row r="13" customFormat="false" ht="15" hidden="false" customHeight="false" outlineLevel="0" collapsed="false">
      <c r="A13" s="13" t="n">
        <v>50410</v>
      </c>
      <c r="B13" s="14" t="s">
        <v>68</v>
      </c>
      <c r="C13" s="14" t="s">
        <v>40</v>
      </c>
      <c r="D13" s="13" t="s">
        <v>53</v>
      </c>
      <c r="E13" s="15" t="n">
        <v>20</v>
      </c>
      <c r="F13" s="14" t="s">
        <v>42</v>
      </c>
      <c r="G13" s="13" t="s">
        <v>50</v>
      </c>
      <c r="H13" s="16" t="n">
        <v>8938</v>
      </c>
      <c r="I13" s="16" t="n">
        <v>446.9</v>
      </c>
      <c r="J13" s="16" t="n">
        <f aca="false">H13*Assumptions!$B$4</f>
        <v>178.76</v>
      </c>
      <c r="K13" s="16" t="n">
        <f aca="false">H13+J13</f>
        <v>9116.76</v>
      </c>
      <c r="L13" s="16" t="n">
        <f aca="false">IF(E13=0,"",K13/E13)</f>
        <v>455.838</v>
      </c>
      <c r="M13" s="13" t="n">
        <v>3</v>
      </c>
      <c r="N13" s="13" t="s">
        <v>69</v>
      </c>
      <c r="O13" s="14" t="s">
        <v>45</v>
      </c>
      <c r="P13" s="17" t="s">
        <v>70</v>
      </c>
    </row>
    <row r="14" customFormat="false" ht="15" hidden="false" customHeight="false" outlineLevel="0" collapsed="false">
      <c r="A14" s="8" t="n">
        <v>50415</v>
      </c>
      <c r="B14" s="9" t="s">
        <v>71</v>
      </c>
      <c r="C14" s="9" t="s">
        <v>47</v>
      </c>
      <c r="D14" s="8" t="s">
        <v>53</v>
      </c>
      <c r="E14" s="10" t="n">
        <v>20</v>
      </c>
      <c r="F14" s="9" t="s">
        <v>42</v>
      </c>
      <c r="G14" s="8" t="s">
        <v>50</v>
      </c>
      <c r="H14" s="11" t="n">
        <v>7425</v>
      </c>
      <c r="I14" s="11" t="n">
        <v>371.25</v>
      </c>
      <c r="J14" s="11" t="n">
        <f aca="false">H14*Assumptions!$B$4</f>
        <v>148.5</v>
      </c>
      <c r="K14" s="11" t="n">
        <f aca="false">H14+J14</f>
        <v>7573.5</v>
      </c>
      <c r="L14" s="11" t="n">
        <f aca="false">IF(E14=0,"",K14/E14)</f>
        <v>378.675</v>
      </c>
      <c r="M14" s="8" t="n">
        <v>18</v>
      </c>
      <c r="N14" s="8" t="s">
        <v>69</v>
      </c>
      <c r="O14" s="9" t="s">
        <v>45</v>
      </c>
      <c r="P14" s="12" t="s">
        <v>72</v>
      </c>
    </row>
    <row r="15" customFormat="false" ht="15" hidden="false" customHeight="false" outlineLevel="0" collapsed="false">
      <c r="A15" s="13" t="n">
        <v>50420</v>
      </c>
      <c r="B15" s="14" t="s">
        <v>71</v>
      </c>
      <c r="C15" s="14" t="s">
        <v>47</v>
      </c>
      <c r="D15" s="13" t="s">
        <v>53</v>
      </c>
      <c r="E15" s="15" t="n">
        <v>20</v>
      </c>
      <c r="F15" s="14" t="s">
        <v>57</v>
      </c>
      <c r="G15" s="13" t="s">
        <v>50</v>
      </c>
      <c r="H15" s="16" t="n">
        <v>6150</v>
      </c>
      <c r="I15" s="16" t="n">
        <v>307.5</v>
      </c>
      <c r="J15" s="16" t="n">
        <f aca="false">H15*Assumptions!$B$4</f>
        <v>123</v>
      </c>
      <c r="K15" s="16" t="n">
        <f aca="false">H15+J15</f>
        <v>6273</v>
      </c>
      <c r="L15" s="16" t="n">
        <f aca="false">IF(E15=0,"",K15/E15)</f>
        <v>313.65</v>
      </c>
      <c r="M15" s="13" t="n">
        <v>2</v>
      </c>
      <c r="N15" s="13" t="s">
        <v>69</v>
      </c>
      <c r="O15" s="14" t="s">
        <v>45</v>
      </c>
      <c r="P15" s="17" t="s">
        <v>73</v>
      </c>
    </row>
    <row r="16" customFormat="false" ht="15" hidden="false" customHeight="false" outlineLevel="0" collapsed="false">
      <c r="A16" s="8" t="n">
        <v>50414</v>
      </c>
      <c r="B16" s="9" t="s">
        <v>71</v>
      </c>
      <c r="C16" s="9" t="s">
        <v>74</v>
      </c>
      <c r="D16" s="8" t="s">
        <v>48</v>
      </c>
      <c r="E16" s="10" t="n">
        <v>20</v>
      </c>
      <c r="F16" s="9" t="s">
        <v>57</v>
      </c>
      <c r="G16" s="8" t="s">
        <v>50</v>
      </c>
      <c r="H16" s="11" t="n">
        <v>8050</v>
      </c>
      <c r="I16" s="11" t="n">
        <v>402.5</v>
      </c>
      <c r="J16" s="11" t="n">
        <f aca="false">H16*Assumptions!$B$4</f>
        <v>161</v>
      </c>
      <c r="K16" s="11" t="n">
        <f aca="false">H16+J16</f>
        <v>8211</v>
      </c>
      <c r="L16" s="11" t="n">
        <f aca="false">IF(E16=0,"",K16/E16)</f>
        <v>410.55</v>
      </c>
      <c r="M16" s="8" t="n">
        <v>10</v>
      </c>
      <c r="N16" s="8" t="s">
        <v>69</v>
      </c>
      <c r="O16" s="9" t="s">
        <v>45</v>
      </c>
      <c r="P16" s="12" t="s">
        <v>75</v>
      </c>
    </row>
    <row r="17" customFormat="false" ht="15" hidden="false" customHeight="false" outlineLevel="0" collapsed="false">
      <c r="A17" s="13" t="n">
        <v>50409</v>
      </c>
      <c r="B17" s="14" t="s">
        <v>71</v>
      </c>
      <c r="C17" s="14" t="s">
        <v>74</v>
      </c>
      <c r="D17" s="13" t="s">
        <v>60</v>
      </c>
      <c r="E17" s="15" t="n">
        <v>20</v>
      </c>
      <c r="F17" s="14" t="s">
        <v>49</v>
      </c>
      <c r="G17" s="13" t="s">
        <v>50</v>
      </c>
      <c r="H17" s="16" t="n">
        <v>5525</v>
      </c>
      <c r="I17" s="16" t="n">
        <v>276.25</v>
      </c>
      <c r="J17" s="16" t="n">
        <f aca="false">H17*Assumptions!$B$4</f>
        <v>110.5</v>
      </c>
      <c r="K17" s="16" t="n">
        <f aca="false">H17+J17</f>
        <v>5635.5</v>
      </c>
      <c r="L17" s="16" t="n">
        <f aca="false">IF(E17=0,"",K17/E17)</f>
        <v>281.775</v>
      </c>
      <c r="M17" s="13" t="n">
        <v>2</v>
      </c>
      <c r="N17" s="13" t="s">
        <v>69</v>
      </c>
      <c r="O17" s="14" t="s">
        <v>45</v>
      </c>
      <c r="P17" s="17" t="s">
        <v>76</v>
      </c>
    </row>
    <row r="18" customFormat="false" ht="15" hidden="false" customHeight="false" outlineLevel="0" collapsed="false">
      <c r="A18" s="8" t="n">
        <v>50419</v>
      </c>
      <c r="B18" s="9" t="s">
        <v>77</v>
      </c>
      <c r="C18" s="9" t="s">
        <v>47</v>
      </c>
      <c r="D18" s="8" t="s">
        <v>53</v>
      </c>
      <c r="E18" s="10" t="n">
        <v>20</v>
      </c>
      <c r="F18" s="9" t="s">
        <v>42</v>
      </c>
      <c r="G18" s="8" t="s">
        <v>50</v>
      </c>
      <c r="H18" s="11" t="n">
        <v>5725</v>
      </c>
      <c r="I18" s="11" t="n">
        <v>286.25</v>
      </c>
      <c r="J18" s="11" t="n">
        <f aca="false">H18*Assumptions!$B$4</f>
        <v>114.5</v>
      </c>
      <c r="K18" s="11" t="n">
        <f aca="false">H18+J18</f>
        <v>5839.5</v>
      </c>
      <c r="L18" s="11" t="n">
        <f aca="false">IF(E18=0,"",K18/E18)</f>
        <v>291.975</v>
      </c>
      <c r="M18" s="8" t="n">
        <v>6</v>
      </c>
      <c r="N18" s="8" t="s">
        <v>69</v>
      </c>
      <c r="O18" s="9" t="s">
        <v>45</v>
      </c>
      <c r="P18" s="12" t="s">
        <v>78</v>
      </c>
    </row>
    <row r="19" customFormat="false" ht="15" hidden="false" customHeight="false" outlineLevel="0" collapsed="false">
      <c r="A19" s="13" t="n">
        <v>50348</v>
      </c>
      <c r="B19" s="14" t="s">
        <v>77</v>
      </c>
      <c r="C19" s="14" t="s">
        <v>74</v>
      </c>
      <c r="D19" s="13" t="s">
        <v>60</v>
      </c>
      <c r="E19" s="15" t="n">
        <v>246</v>
      </c>
      <c r="F19" s="14" t="s">
        <v>42</v>
      </c>
      <c r="G19" s="13" t="s">
        <v>50</v>
      </c>
      <c r="H19" s="16" t="n">
        <v>63960</v>
      </c>
      <c r="I19" s="16" t="n">
        <v>260</v>
      </c>
      <c r="J19" s="16" t="n">
        <f aca="false">H19*Assumptions!$B$4</f>
        <v>1279.2</v>
      </c>
      <c r="K19" s="16" t="n">
        <f aca="false">H19+J19</f>
        <v>65239.2</v>
      </c>
      <c r="L19" s="16" t="n">
        <f aca="false">IF(E19=0,"",K19/E19)</f>
        <v>265.2</v>
      </c>
      <c r="M19" s="13" t="n">
        <v>1</v>
      </c>
      <c r="N19" s="13" t="s">
        <v>69</v>
      </c>
      <c r="O19" s="14" t="s">
        <v>45</v>
      </c>
      <c r="P19" s="17" t="s">
        <v>79</v>
      </c>
    </row>
    <row r="20" customFormat="false" ht="15" hidden="false" customHeight="false" outlineLevel="0" collapsed="false">
      <c r="A20" s="8" t="n">
        <v>50426</v>
      </c>
      <c r="B20" s="9" t="s">
        <v>80</v>
      </c>
      <c r="C20" s="9" t="s">
        <v>47</v>
      </c>
      <c r="D20" s="8" t="s">
        <v>53</v>
      </c>
      <c r="E20" s="10" t="n">
        <v>20</v>
      </c>
      <c r="F20" s="9" t="s">
        <v>42</v>
      </c>
      <c r="G20" s="8" t="s">
        <v>50</v>
      </c>
      <c r="H20" s="11" t="n">
        <v>5277</v>
      </c>
      <c r="I20" s="11" t="n">
        <v>263.85</v>
      </c>
      <c r="J20" s="11" t="n">
        <f aca="false">H20*Assumptions!$B$4</f>
        <v>105.54</v>
      </c>
      <c r="K20" s="11" t="n">
        <f aca="false">H20+J20</f>
        <v>5382.54</v>
      </c>
      <c r="L20" s="11" t="n">
        <f aca="false">IF(E20=0,"",K20/E20)</f>
        <v>269.127</v>
      </c>
      <c r="M20" s="8" t="n">
        <v>7</v>
      </c>
      <c r="N20" s="8" t="s">
        <v>69</v>
      </c>
      <c r="O20" s="9" t="s">
        <v>45</v>
      </c>
      <c r="P20" s="12" t="s">
        <v>81</v>
      </c>
    </row>
    <row r="21" customFormat="false" ht="15" hidden="false" customHeight="false" outlineLevel="0" collapsed="false">
      <c r="A21" s="13" t="n">
        <v>50421</v>
      </c>
      <c r="B21" s="14" t="s">
        <v>80</v>
      </c>
      <c r="C21" s="14" t="s">
        <v>47</v>
      </c>
      <c r="D21" s="13" t="s">
        <v>60</v>
      </c>
      <c r="E21" s="15" t="n">
        <v>20</v>
      </c>
      <c r="F21" s="14" t="s">
        <v>42</v>
      </c>
      <c r="G21" s="13" t="s">
        <v>50</v>
      </c>
      <c r="H21" s="16" t="n">
        <v>3804</v>
      </c>
      <c r="I21" s="16" t="n">
        <v>190.2</v>
      </c>
      <c r="J21" s="16" t="n">
        <f aca="false">H21*Assumptions!$B$4</f>
        <v>76.08</v>
      </c>
      <c r="K21" s="16" t="n">
        <f aca="false">H21+J21</f>
        <v>3880.08</v>
      </c>
      <c r="L21" s="16" t="n">
        <f aca="false">IF(E21=0,"",K21/E21)</f>
        <v>194.004</v>
      </c>
      <c r="M21" s="13" t="n">
        <v>5</v>
      </c>
      <c r="N21" s="13" t="s">
        <v>69</v>
      </c>
      <c r="O21" s="14" t="s">
        <v>45</v>
      </c>
      <c r="P21" s="17" t="s">
        <v>82</v>
      </c>
    </row>
    <row r="22" customFormat="false" ht="15" hidden="false" customHeight="false" outlineLevel="0" collapsed="false">
      <c r="A22" s="8" t="n">
        <v>50369</v>
      </c>
      <c r="B22" s="9" t="s">
        <v>80</v>
      </c>
      <c r="C22" s="9" t="s">
        <v>74</v>
      </c>
      <c r="D22" s="8" t="s">
        <v>41</v>
      </c>
      <c r="E22" s="10" t="n">
        <v>20</v>
      </c>
      <c r="F22" s="9" t="s">
        <v>42</v>
      </c>
      <c r="G22" s="8" t="s">
        <v>43</v>
      </c>
      <c r="H22" s="11" t="n">
        <v>6075</v>
      </c>
      <c r="I22" s="11" t="n">
        <v>303.75</v>
      </c>
      <c r="J22" s="11" t="n">
        <f aca="false">H22*Assumptions!$B$4</f>
        <v>121.5</v>
      </c>
      <c r="K22" s="11" t="n">
        <f aca="false">H22+J22</f>
        <v>6196.5</v>
      </c>
      <c r="L22" s="11" t="n">
        <f aca="false">IF(E22=0,"",K22/E22)</f>
        <v>309.825</v>
      </c>
      <c r="M22" s="8" t="n">
        <v>3</v>
      </c>
      <c r="N22" s="8" t="s">
        <v>69</v>
      </c>
      <c r="O22" s="9" t="s">
        <v>45</v>
      </c>
      <c r="P22" s="12" t="s">
        <v>83</v>
      </c>
    </row>
    <row r="23" customFormat="false" ht="15" hidden="false" customHeight="false" outlineLevel="0" collapsed="false">
      <c r="A23" s="13" t="n">
        <v>50408</v>
      </c>
      <c r="B23" s="14" t="s">
        <v>84</v>
      </c>
      <c r="C23" s="14" t="s">
        <v>40</v>
      </c>
      <c r="D23" s="13" t="s">
        <v>53</v>
      </c>
      <c r="E23" s="15" t="n">
        <v>20</v>
      </c>
      <c r="F23" s="14" t="s">
        <v>42</v>
      </c>
      <c r="G23" s="13" t="s">
        <v>50</v>
      </c>
      <c r="H23" s="16" t="n">
        <v>10170</v>
      </c>
      <c r="I23" s="16" t="n">
        <v>508.5</v>
      </c>
      <c r="J23" s="16" t="n">
        <f aca="false">H23*Assumptions!$B$4</f>
        <v>203.4</v>
      </c>
      <c r="K23" s="16" t="n">
        <f aca="false">H23+J23</f>
        <v>10373.4</v>
      </c>
      <c r="L23" s="16" t="n">
        <f aca="false">IF(E23=0,"",K23/E23)</f>
        <v>518.67</v>
      </c>
      <c r="M23" s="13" t="n">
        <v>12</v>
      </c>
      <c r="N23" s="13" t="s">
        <v>69</v>
      </c>
      <c r="O23" s="14" t="s">
        <v>45</v>
      </c>
      <c r="P23" s="17" t="s">
        <v>85</v>
      </c>
    </row>
    <row r="24" customFormat="false" ht="15" hidden="false" customHeight="false" outlineLevel="0" collapsed="false">
      <c r="A24" s="8" t="n">
        <v>50407</v>
      </c>
      <c r="B24" s="9" t="s">
        <v>84</v>
      </c>
      <c r="C24" s="9" t="s">
        <v>40</v>
      </c>
      <c r="D24" s="8" t="s">
        <v>60</v>
      </c>
      <c r="E24" s="10" t="n">
        <v>20</v>
      </c>
      <c r="F24" s="9" t="s">
        <v>57</v>
      </c>
      <c r="G24" s="8" t="s">
        <v>50</v>
      </c>
      <c r="H24" s="11" t="n">
        <v>6800</v>
      </c>
      <c r="I24" s="11" t="n">
        <v>340</v>
      </c>
      <c r="J24" s="11" t="n">
        <f aca="false">H24*Assumptions!$B$4</f>
        <v>136</v>
      </c>
      <c r="K24" s="11" t="n">
        <f aca="false">H24+J24</f>
        <v>6936</v>
      </c>
      <c r="L24" s="11" t="n">
        <f aca="false">IF(E24=0,"",K24/E24)</f>
        <v>346.8</v>
      </c>
      <c r="M24" s="8" t="n">
        <v>1</v>
      </c>
      <c r="N24" s="8" t="s">
        <v>69</v>
      </c>
      <c r="O24" s="9" t="s">
        <v>45</v>
      </c>
      <c r="P24" s="12" t="s">
        <v>86</v>
      </c>
    </row>
    <row r="25" customFormat="false" ht="15" hidden="false" customHeight="false" outlineLevel="0" collapsed="false">
      <c r="A25" s="13" t="n">
        <v>50406</v>
      </c>
      <c r="B25" s="14" t="s">
        <v>84</v>
      </c>
      <c r="C25" s="14" t="s">
        <v>47</v>
      </c>
      <c r="D25" s="13" t="s">
        <v>48</v>
      </c>
      <c r="E25" s="15" t="n">
        <v>20</v>
      </c>
      <c r="F25" s="14" t="s">
        <v>49</v>
      </c>
      <c r="G25" s="13" t="s">
        <v>50</v>
      </c>
      <c r="H25" s="16" t="n">
        <v>7200</v>
      </c>
      <c r="I25" s="16" t="n">
        <v>360</v>
      </c>
      <c r="J25" s="16" t="n">
        <f aca="false">H25*Assumptions!$B$4</f>
        <v>144</v>
      </c>
      <c r="K25" s="16" t="n">
        <f aca="false">H25+J25</f>
        <v>7344</v>
      </c>
      <c r="L25" s="16" t="n">
        <f aca="false">IF(E25=0,"",K25/E25)</f>
        <v>367.2</v>
      </c>
      <c r="M25" s="13" t="n">
        <v>1</v>
      </c>
      <c r="N25" s="13" t="s">
        <v>69</v>
      </c>
      <c r="O25" s="14" t="s">
        <v>45</v>
      </c>
      <c r="P25" s="17" t="s">
        <v>87</v>
      </c>
    </row>
    <row r="26" customFormat="false" ht="15" hidden="false" customHeight="false" outlineLevel="0" collapsed="false">
      <c r="A26" s="8" t="n">
        <v>50400</v>
      </c>
      <c r="B26" s="9" t="s">
        <v>84</v>
      </c>
      <c r="C26" s="9" t="s">
        <v>47</v>
      </c>
      <c r="D26" s="8" t="s">
        <v>53</v>
      </c>
      <c r="E26" s="10" t="n">
        <v>20</v>
      </c>
      <c r="F26" s="9" t="s">
        <v>49</v>
      </c>
      <c r="G26" s="8" t="s">
        <v>50</v>
      </c>
      <c r="H26" s="11" t="n">
        <v>8550</v>
      </c>
      <c r="I26" s="11" t="n">
        <v>427.5</v>
      </c>
      <c r="J26" s="11" t="n">
        <f aca="false">H26*Assumptions!$B$4</f>
        <v>171</v>
      </c>
      <c r="K26" s="11" t="n">
        <f aca="false">H26+J26</f>
        <v>8721</v>
      </c>
      <c r="L26" s="11" t="n">
        <f aca="false">IF(E26=0,"",K26/E26)</f>
        <v>436.05</v>
      </c>
      <c r="M26" s="8" t="n">
        <v>8</v>
      </c>
      <c r="N26" s="8" t="s">
        <v>69</v>
      </c>
      <c r="O26" s="9" t="s">
        <v>45</v>
      </c>
      <c r="P26" s="12" t="s">
        <v>88</v>
      </c>
    </row>
    <row r="27" customFormat="false" ht="15" hidden="false" customHeight="false" outlineLevel="0" collapsed="false">
      <c r="A27" s="13" t="n">
        <v>50343</v>
      </c>
      <c r="B27" s="14" t="s">
        <v>84</v>
      </c>
      <c r="C27" s="14" t="s">
        <v>47</v>
      </c>
      <c r="D27" s="13" t="s">
        <v>60</v>
      </c>
      <c r="E27" s="15" t="n">
        <v>250</v>
      </c>
      <c r="F27" s="14" t="s">
        <v>42</v>
      </c>
      <c r="G27" s="13" t="s">
        <v>50</v>
      </c>
      <c r="H27" s="16" t="n">
        <v>85000</v>
      </c>
      <c r="I27" s="16" t="n">
        <v>340</v>
      </c>
      <c r="J27" s="16" t="n">
        <f aca="false">H27*Assumptions!$B$4</f>
        <v>1700</v>
      </c>
      <c r="K27" s="16" t="n">
        <f aca="false">H27+J27</f>
        <v>86700</v>
      </c>
      <c r="L27" s="16" t="n">
        <f aca="false">IF(E27=0,"",K27/E27)</f>
        <v>346.8</v>
      </c>
      <c r="M27" s="13" t="n">
        <v>0</v>
      </c>
      <c r="N27" s="13" t="s">
        <v>69</v>
      </c>
      <c r="O27" s="14" t="s">
        <v>45</v>
      </c>
      <c r="P27" s="17" t="s">
        <v>89</v>
      </c>
    </row>
    <row r="28" customFormat="false" ht="15" hidden="false" customHeight="false" outlineLevel="0" collapsed="false">
      <c r="A28" s="8" t="n">
        <v>50347</v>
      </c>
      <c r="B28" s="9" t="s">
        <v>84</v>
      </c>
      <c r="C28" s="9" t="s">
        <v>47</v>
      </c>
      <c r="D28" s="8" t="s">
        <v>60</v>
      </c>
      <c r="E28" s="10" t="n">
        <v>180</v>
      </c>
      <c r="F28" s="9" t="s">
        <v>42</v>
      </c>
      <c r="G28" s="8" t="s">
        <v>50</v>
      </c>
      <c r="H28" s="11" t="n">
        <v>61200</v>
      </c>
      <c r="I28" s="11" t="n">
        <v>340</v>
      </c>
      <c r="J28" s="11" t="n">
        <f aca="false">H28*Assumptions!$B$4</f>
        <v>1224</v>
      </c>
      <c r="K28" s="11" t="n">
        <f aca="false">H28+J28</f>
        <v>62424</v>
      </c>
      <c r="L28" s="11" t="n">
        <f aca="false">IF(E28=0,"",K28/E28)</f>
        <v>346.8</v>
      </c>
      <c r="M28" s="8" t="n">
        <v>0</v>
      </c>
      <c r="N28" s="8" t="s">
        <v>69</v>
      </c>
      <c r="O28" s="9" t="s">
        <v>45</v>
      </c>
      <c r="P28" s="12" t="s">
        <v>90</v>
      </c>
    </row>
    <row r="29" customFormat="false" ht="15" hidden="false" customHeight="false" outlineLevel="0" collapsed="false">
      <c r="A29" s="13" t="n">
        <v>50413</v>
      </c>
      <c r="B29" s="14" t="s">
        <v>91</v>
      </c>
      <c r="C29" s="14" t="s">
        <v>63</v>
      </c>
      <c r="D29" s="13" t="s">
        <v>60</v>
      </c>
      <c r="E29" s="15" t="n">
        <v>20</v>
      </c>
      <c r="F29" s="14" t="s">
        <v>42</v>
      </c>
      <c r="G29" s="13" t="s">
        <v>50</v>
      </c>
      <c r="H29" s="16" t="n">
        <v>5000</v>
      </c>
      <c r="I29" s="16" t="n">
        <v>250</v>
      </c>
      <c r="J29" s="16" t="n">
        <f aca="false">H29*Assumptions!$B$4</f>
        <v>100</v>
      </c>
      <c r="K29" s="16" t="n">
        <f aca="false">H29+J29</f>
        <v>5100</v>
      </c>
      <c r="L29" s="16" t="n">
        <f aca="false">IF(E29=0,"",K29/E29)</f>
        <v>255</v>
      </c>
      <c r="M29" s="13" t="n">
        <v>1</v>
      </c>
      <c r="N29" s="13" t="s">
        <v>69</v>
      </c>
      <c r="O29" s="14" t="s">
        <v>45</v>
      </c>
      <c r="P29" s="17" t="s">
        <v>92</v>
      </c>
    </row>
    <row r="30" customFormat="false" ht="15" hidden="false" customHeight="false" outlineLevel="0" collapsed="false">
      <c r="A30" s="8" t="n">
        <v>50399</v>
      </c>
      <c r="B30" s="9" t="s">
        <v>91</v>
      </c>
      <c r="C30" s="9" t="s">
        <v>47</v>
      </c>
      <c r="D30" s="8" t="s">
        <v>48</v>
      </c>
      <c r="E30" s="10" t="n">
        <v>20</v>
      </c>
      <c r="F30" s="9" t="s">
        <v>57</v>
      </c>
      <c r="G30" s="8" t="s">
        <v>50</v>
      </c>
      <c r="H30" s="11" t="n">
        <v>6025</v>
      </c>
      <c r="I30" s="11" t="n">
        <v>301.25</v>
      </c>
      <c r="J30" s="11" t="n">
        <f aca="false">H30*Assumptions!$B$4</f>
        <v>120.5</v>
      </c>
      <c r="K30" s="11" t="n">
        <f aca="false">H30+J30</f>
        <v>6145.5</v>
      </c>
      <c r="L30" s="11" t="n">
        <f aca="false">IF(E30=0,"",K30/E30)</f>
        <v>307.275</v>
      </c>
      <c r="M30" s="8" t="n">
        <v>6</v>
      </c>
      <c r="N30" s="8" t="s">
        <v>69</v>
      </c>
      <c r="O30" s="9" t="s">
        <v>45</v>
      </c>
      <c r="P30" s="12" t="s">
        <v>93</v>
      </c>
    </row>
    <row r="31" customFormat="false" ht="15" hidden="false" customHeight="false" outlineLevel="0" collapsed="false">
      <c r="A31" s="13" t="n">
        <v>50405</v>
      </c>
      <c r="B31" s="14" t="s">
        <v>91</v>
      </c>
      <c r="C31" s="14" t="s">
        <v>74</v>
      </c>
      <c r="D31" s="13" t="s">
        <v>48</v>
      </c>
      <c r="E31" s="15" t="n">
        <v>20</v>
      </c>
      <c r="F31" s="14" t="s">
        <v>57</v>
      </c>
      <c r="G31" s="13" t="s">
        <v>50</v>
      </c>
      <c r="H31" s="16" t="n">
        <v>6000</v>
      </c>
      <c r="I31" s="16" t="n">
        <v>300</v>
      </c>
      <c r="J31" s="16" t="n">
        <f aca="false">H31*Assumptions!$B$4</f>
        <v>120</v>
      </c>
      <c r="K31" s="16" t="n">
        <f aca="false">H31+J31</f>
        <v>6120</v>
      </c>
      <c r="L31" s="16" t="n">
        <f aca="false">IF(E31=0,"",K31/E31)</f>
        <v>306</v>
      </c>
      <c r="M31" s="13" t="n">
        <v>2</v>
      </c>
      <c r="N31" s="13" t="s">
        <v>69</v>
      </c>
      <c r="O31" s="14" t="s">
        <v>45</v>
      </c>
      <c r="P31" s="17" t="s">
        <v>94</v>
      </c>
    </row>
    <row r="32" customFormat="false" ht="15" hidden="false" customHeight="false" outlineLevel="0" collapsed="false">
      <c r="A32" s="8" t="n">
        <v>50345</v>
      </c>
      <c r="B32" s="9" t="s">
        <v>91</v>
      </c>
      <c r="C32" s="9" t="s">
        <v>74</v>
      </c>
      <c r="D32" s="8" t="s">
        <v>60</v>
      </c>
      <c r="E32" s="10" t="n">
        <v>240</v>
      </c>
      <c r="F32" s="9" t="s">
        <v>42</v>
      </c>
      <c r="G32" s="8" t="s">
        <v>50</v>
      </c>
      <c r="H32" s="11" t="n">
        <v>60000</v>
      </c>
      <c r="I32" s="11" t="n">
        <v>250</v>
      </c>
      <c r="J32" s="11" t="n">
        <f aca="false">H32*Assumptions!$B$4</f>
        <v>1200</v>
      </c>
      <c r="K32" s="11" t="n">
        <f aca="false">H32+J32</f>
        <v>61200</v>
      </c>
      <c r="L32" s="11" t="n">
        <f aca="false">IF(E32=0,"",K32/E32)</f>
        <v>255</v>
      </c>
      <c r="M32" s="8" t="n">
        <v>0</v>
      </c>
      <c r="N32" s="8" t="s">
        <v>69</v>
      </c>
      <c r="O32" s="9" t="s">
        <v>45</v>
      </c>
      <c r="P32" s="12" t="s">
        <v>95</v>
      </c>
    </row>
    <row r="33" customFormat="false" ht="15" hidden="false" customHeight="false" outlineLevel="0" collapsed="false">
      <c r="A33" s="13" t="n">
        <v>50354</v>
      </c>
      <c r="B33" s="14" t="s">
        <v>91</v>
      </c>
      <c r="C33" s="14" t="s">
        <v>74</v>
      </c>
      <c r="D33" s="13" t="s">
        <v>60</v>
      </c>
      <c r="E33" s="15" t="n">
        <v>118</v>
      </c>
      <c r="F33" s="14" t="s">
        <v>42</v>
      </c>
      <c r="G33" s="13" t="s">
        <v>50</v>
      </c>
      <c r="H33" s="16" t="n">
        <v>29500</v>
      </c>
      <c r="I33" s="16" t="n">
        <v>250</v>
      </c>
      <c r="J33" s="16" t="n">
        <f aca="false">H33*Assumptions!$B$4</f>
        <v>590</v>
      </c>
      <c r="K33" s="16" t="n">
        <f aca="false">H33+J33</f>
        <v>30090</v>
      </c>
      <c r="L33" s="16" t="n">
        <f aca="false">IF(E33=0,"",K33/E33)</f>
        <v>255</v>
      </c>
      <c r="M33" s="13" t="n">
        <v>0</v>
      </c>
      <c r="N33" s="13" t="s">
        <v>69</v>
      </c>
      <c r="O33" s="14" t="s">
        <v>45</v>
      </c>
      <c r="P33" s="17" t="s">
        <v>96</v>
      </c>
    </row>
    <row r="34" customFormat="false" ht="15" hidden="false" customHeight="false" outlineLevel="0" collapsed="false">
      <c r="A34" s="8" t="n">
        <v>50404</v>
      </c>
      <c r="B34" s="9" t="s">
        <v>97</v>
      </c>
      <c r="C34" s="9" t="s">
        <v>47</v>
      </c>
      <c r="D34" s="8" t="s">
        <v>53</v>
      </c>
      <c r="E34" s="10" t="n">
        <v>20</v>
      </c>
      <c r="F34" s="9" t="s">
        <v>57</v>
      </c>
      <c r="G34" s="8" t="s">
        <v>50</v>
      </c>
      <c r="H34" s="11" t="n">
        <v>4300</v>
      </c>
      <c r="I34" s="11" t="n">
        <v>215</v>
      </c>
      <c r="J34" s="11" t="n">
        <f aca="false">H34*Assumptions!$B$4</f>
        <v>86</v>
      </c>
      <c r="K34" s="11" t="n">
        <f aca="false">H34+J34</f>
        <v>4386</v>
      </c>
      <c r="L34" s="11" t="n">
        <f aca="false">IF(E34=0,"",K34/E34)</f>
        <v>219.3</v>
      </c>
      <c r="M34" s="8" t="n">
        <v>1</v>
      </c>
      <c r="N34" s="8" t="s">
        <v>69</v>
      </c>
      <c r="O34" s="9" t="s">
        <v>45</v>
      </c>
      <c r="P34" s="12" t="s">
        <v>98</v>
      </c>
    </row>
    <row r="35" customFormat="false" ht="15" hidden="false" customHeight="false" outlineLevel="0" collapsed="false">
      <c r="A35" s="13" t="n">
        <v>50397</v>
      </c>
      <c r="B35" s="14" t="s">
        <v>97</v>
      </c>
      <c r="C35" s="14" t="s">
        <v>74</v>
      </c>
      <c r="D35" s="13" t="s">
        <v>48</v>
      </c>
      <c r="E35" s="15" t="n">
        <v>20</v>
      </c>
      <c r="F35" s="14" t="s">
        <v>57</v>
      </c>
      <c r="G35" s="13" t="s">
        <v>50</v>
      </c>
      <c r="H35" s="16" t="n">
        <v>4500</v>
      </c>
      <c r="I35" s="16" t="n">
        <v>225</v>
      </c>
      <c r="J35" s="16" t="n">
        <f aca="false">H35*Assumptions!$B$4</f>
        <v>90</v>
      </c>
      <c r="K35" s="16" t="n">
        <f aca="false">H35+J35</f>
        <v>4590</v>
      </c>
      <c r="L35" s="16" t="n">
        <f aca="false">IF(E35=0,"",K35/E35)</f>
        <v>229.5</v>
      </c>
      <c r="M35" s="13" t="n">
        <v>0</v>
      </c>
      <c r="N35" s="13" t="s">
        <v>69</v>
      </c>
      <c r="O35" s="14" t="s">
        <v>45</v>
      </c>
      <c r="P35" s="17" t="s">
        <v>99</v>
      </c>
    </row>
    <row r="36" customFormat="false" ht="15" hidden="false" customHeight="false" outlineLevel="0" collapsed="false">
      <c r="A36" s="8" t="n">
        <v>50349</v>
      </c>
      <c r="B36" s="9" t="s">
        <v>97</v>
      </c>
      <c r="C36" s="9" t="s">
        <v>74</v>
      </c>
      <c r="D36" s="8" t="s">
        <v>60</v>
      </c>
      <c r="E36" s="10" t="n">
        <v>240</v>
      </c>
      <c r="F36" s="9" t="s">
        <v>42</v>
      </c>
      <c r="G36" s="8" t="s">
        <v>50</v>
      </c>
      <c r="H36" s="11" t="n">
        <v>51600</v>
      </c>
      <c r="I36" s="11" t="n">
        <v>215</v>
      </c>
      <c r="J36" s="11" t="n">
        <f aca="false">H36*Assumptions!$B$4</f>
        <v>1032</v>
      </c>
      <c r="K36" s="11" t="n">
        <f aca="false">H36+J36</f>
        <v>52632</v>
      </c>
      <c r="L36" s="11" t="n">
        <f aca="false">IF(E36=0,"",K36/E36)</f>
        <v>219.3</v>
      </c>
      <c r="M36" s="8" t="n">
        <v>0</v>
      </c>
      <c r="N36" s="8" t="s">
        <v>69</v>
      </c>
      <c r="O36" s="9" t="s">
        <v>45</v>
      </c>
      <c r="P36" s="12" t="s">
        <v>100</v>
      </c>
    </row>
    <row r="37" customFormat="false" ht="15" hidden="false" customHeight="false" outlineLevel="0" collapsed="false">
      <c r="A37" s="13" t="n">
        <v>50360</v>
      </c>
      <c r="B37" s="14" t="s">
        <v>97</v>
      </c>
      <c r="C37" s="14" t="s">
        <v>74</v>
      </c>
      <c r="D37" s="13" t="s">
        <v>60</v>
      </c>
      <c r="E37" s="15" t="n">
        <v>71</v>
      </c>
      <c r="F37" s="14" t="s">
        <v>42</v>
      </c>
      <c r="G37" s="13" t="s">
        <v>50</v>
      </c>
      <c r="H37" s="16" t="n">
        <v>15265</v>
      </c>
      <c r="I37" s="16" t="n">
        <v>215</v>
      </c>
      <c r="J37" s="16" t="n">
        <f aca="false">H37*Assumptions!$B$4</f>
        <v>305.3</v>
      </c>
      <c r="K37" s="16" t="n">
        <f aca="false">H37+J37</f>
        <v>15570.3</v>
      </c>
      <c r="L37" s="16" t="n">
        <f aca="false">IF(E37=0,"",K37/E37)</f>
        <v>219.3</v>
      </c>
      <c r="M37" s="13" t="n">
        <v>0</v>
      </c>
      <c r="N37" s="13" t="s">
        <v>69</v>
      </c>
      <c r="O37" s="14" t="s">
        <v>45</v>
      </c>
      <c r="P37" s="17" t="s">
        <v>101</v>
      </c>
    </row>
    <row r="38" customFormat="false" ht="15" hidden="false" customHeight="false" outlineLevel="0" collapsed="false">
      <c r="A38" s="8" t="n">
        <v>50398</v>
      </c>
      <c r="B38" s="9" t="s">
        <v>97</v>
      </c>
      <c r="C38" s="9" t="s">
        <v>74</v>
      </c>
      <c r="D38" s="8" t="s">
        <v>60</v>
      </c>
      <c r="E38" s="10" t="n">
        <v>20</v>
      </c>
      <c r="F38" s="9" t="s">
        <v>49</v>
      </c>
      <c r="G38" s="8" t="s">
        <v>50</v>
      </c>
      <c r="H38" s="11" t="n">
        <v>4625</v>
      </c>
      <c r="I38" s="11" t="n">
        <v>231.25</v>
      </c>
      <c r="J38" s="11" t="n">
        <f aca="false">H38*Assumptions!$B$4</f>
        <v>92.5</v>
      </c>
      <c r="K38" s="11" t="n">
        <f aca="false">H38+J38</f>
        <v>4717.5</v>
      </c>
      <c r="L38" s="11" t="n">
        <f aca="false">IF(E38=0,"",K38/E38)</f>
        <v>235.875</v>
      </c>
      <c r="M38" s="8" t="n">
        <v>2</v>
      </c>
      <c r="N38" s="8" t="s">
        <v>69</v>
      </c>
      <c r="O38" s="9" t="s">
        <v>45</v>
      </c>
      <c r="P38" s="12" t="s">
        <v>102</v>
      </c>
    </row>
    <row r="39" customFormat="false" ht="15" hidden="false" customHeight="false" outlineLevel="0" collapsed="false">
      <c r="A39" s="13" t="n">
        <v>50418</v>
      </c>
      <c r="B39" s="14" t="s">
        <v>103</v>
      </c>
      <c r="C39" s="14" t="s">
        <v>40</v>
      </c>
      <c r="D39" s="13" t="s">
        <v>60</v>
      </c>
      <c r="E39" s="15" t="n">
        <v>20</v>
      </c>
      <c r="F39" s="14" t="s">
        <v>42</v>
      </c>
      <c r="G39" s="13" t="s">
        <v>50</v>
      </c>
      <c r="H39" s="16" t="n">
        <v>5225</v>
      </c>
      <c r="I39" s="16" t="n">
        <v>261.25</v>
      </c>
      <c r="J39" s="16" t="n">
        <f aca="false">H39*Assumptions!$B$4</f>
        <v>104.5</v>
      </c>
      <c r="K39" s="16" t="n">
        <f aca="false">H39+J39</f>
        <v>5329.5</v>
      </c>
      <c r="L39" s="16" t="n">
        <f aca="false">IF(E39=0,"",K39/E39)</f>
        <v>266.475</v>
      </c>
      <c r="M39" s="13" t="n">
        <v>7</v>
      </c>
      <c r="N39" s="13" t="s">
        <v>69</v>
      </c>
      <c r="O39" s="14" t="s">
        <v>45</v>
      </c>
      <c r="P39" s="17" t="s">
        <v>104</v>
      </c>
    </row>
    <row r="40" customFormat="false" ht="15" hidden="false" customHeight="false" outlineLevel="0" collapsed="false">
      <c r="A40" s="8" t="n">
        <v>50403</v>
      </c>
      <c r="B40" s="9" t="s">
        <v>103</v>
      </c>
      <c r="C40" s="9" t="s">
        <v>47</v>
      </c>
      <c r="D40" s="8" t="s">
        <v>60</v>
      </c>
      <c r="E40" s="10" t="n">
        <v>20</v>
      </c>
      <c r="F40" s="9" t="s">
        <v>57</v>
      </c>
      <c r="G40" s="8" t="s">
        <v>50</v>
      </c>
      <c r="H40" s="11" t="n">
        <v>4200</v>
      </c>
      <c r="I40" s="11" t="n">
        <v>210</v>
      </c>
      <c r="J40" s="11" t="n">
        <f aca="false">H40*Assumptions!$B$4</f>
        <v>84</v>
      </c>
      <c r="K40" s="11" t="n">
        <f aca="false">H40+J40</f>
        <v>4284</v>
      </c>
      <c r="L40" s="11" t="n">
        <f aca="false">IF(E40=0,"",K40/E40)</f>
        <v>214.2</v>
      </c>
      <c r="M40" s="8" t="n">
        <v>0</v>
      </c>
      <c r="N40" s="8" t="s">
        <v>69</v>
      </c>
      <c r="O40" s="9" t="s">
        <v>45</v>
      </c>
      <c r="P40" s="12" t="s">
        <v>105</v>
      </c>
    </row>
    <row r="41" customFormat="false" ht="15" hidden="false" customHeight="false" outlineLevel="0" collapsed="false">
      <c r="A41" s="13" t="n">
        <v>50396</v>
      </c>
      <c r="B41" s="14" t="s">
        <v>103</v>
      </c>
      <c r="C41" s="14" t="s">
        <v>74</v>
      </c>
      <c r="D41" s="13" t="s">
        <v>48</v>
      </c>
      <c r="E41" s="15" t="n">
        <v>20</v>
      </c>
      <c r="F41" s="14" t="s">
        <v>49</v>
      </c>
      <c r="G41" s="13" t="s">
        <v>50</v>
      </c>
      <c r="H41" s="16" t="n">
        <v>4500</v>
      </c>
      <c r="I41" s="16" t="n">
        <v>225</v>
      </c>
      <c r="J41" s="16" t="n">
        <f aca="false">H41*Assumptions!$B$4</f>
        <v>90</v>
      </c>
      <c r="K41" s="16" t="n">
        <f aca="false">H41+J41</f>
        <v>4590</v>
      </c>
      <c r="L41" s="16" t="n">
        <f aca="false">IF(E41=0,"",K41/E41)</f>
        <v>229.5</v>
      </c>
      <c r="M41" s="13" t="n">
        <v>1</v>
      </c>
      <c r="N41" s="13" t="s">
        <v>69</v>
      </c>
      <c r="O41" s="14" t="s">
        <v>45</v>
      </c>
      <c r="P41" s="17" t="s">
        <v>106</v>
      </c>
    </row>
    <row r="42" customFormat="false" ht="15" hidden="false" customHeight="false" outlineLevel="0" collapsed="false">
      <c r="A42" s="8" t="n">
        <v>50337</v>
      </c>
      <c r="B42" s="9" t="s">
        <v>103</v>
      </c>
      <c r="C42" s="9" t="s">
        <v>74</v>
      </c>
      <c r="D42" s="8" t="s">
        <v>53</v>
      </c>
      <c r="E42" s="10" t="n">
        <v>284</v>
      </c>
      <c r="F42" s="9" t="s">
        <v>42</v>
      </c>
      <c r="G42" s="8" t="s">
        <v>50</v>
      </c>
      <c r="H42" s="11" t="n">
        <v>62480</v>
      </c>
      <c r="I42" s="11" t="n">
        <v>220</v>
      </c>
      <c r="J42" s="11" t="n">
        <f aca="false">H42*Assumptions!$B$4</f>
        <v>1249.6</v>
      </c>
      <c r="K42" s="11" t="n">
        <f aca="false">H42+J42</f>
        <v>63729.6</v>
      </c>
      <c r="L42" s="11" t="n">
        <f aca="false">IF(E42=0,"",K42/E42)</f>
        <v>224.4</v>
      </c>
      <c r="M42" s="8" t="n">
        <v>0</v>
      </c>
      <c r="N42" s="8" t="s">
        <v>69</v>
      </c>
      <c r="O42" s="9" t="s">
        <v>45</v>
      </c>
      <c r="P42" s="12" t="s">
        <v>107</v>
      </c>
    </row>
    <row r="43" customFormat="false" ht="15" hidden="false" customHeight="false" outlineLevel="0" collapsed="false">
      <c r="A43" s="13" t="n">
        <v>50331</v>
      </c>
      <c r="B43" s="14" t="s">
        <v>103</v>
      </c>
      <c r="C43" s="14" t="s">
        <v>74</v>
      </c>
      <c r="D43" s="13" t="s">
        <v>60</v>
      </c>
      <c r="E43" s="15" t="n">
        <v>394</v>
      </c>
      <c r="F43" s="14" t="s">
        <v>42</v>
      </c>
      <c r="G43" s="13" t="s">
        <v>50</v>
      </c>
      <c r="H43" s="16" t="n">
        <v>82740</v>
      </c>
      <c r="I43" s="16" t="n">
        <v>210</v>
      </c>
      <c r="J43" s="16" t="n">
        <f aca="false">H43*Assumptions!$B$4</f>
        <v>1654.8</v>
      </c>
      <c r="K43" s="16" t="n">
        <f aca="false">H43+J43</f>
        <v>84394.8</v>
      </c>
      <c r="L43" s="16" t="n">
        <f aca="false">IF(E43=0,"",K43/E43)</f>
        <v>214.2</v>
      </c>
      <c r="M43" s="13" t="n">
        <v>1</v>
      </c>
      <c r="N43" s="13" t="s">
        <v>69</v>
      </c>
      <c r="O43" s="14" t="s">
        <v>45</v>
      </c>
      <c r="P43" s="17" t="s">
        <v>108</v>
      </c>
    </row>
    <row r="44" customFormat="false" ht="15" hidden="false" customHeight="false" outlineLevel="0" collapsed="false">
      <c r="A44" s="8" t="n">
        <v>50353</v>
      </c>
      <c r="B44" s="9" t="s">
        <v>103</v>
      </c>
      <c r="C44" s="9" t="s">
        <v>74</v>
      </c>
      <c r="D44" s="8" t="s">
        <v>60</v>
      </c>
      <c r="E44" s="10" t="n">
        <v>120</v>
      </c>
      <c r="F44" s="9" t="s">
        <v>42</v>
      </c>
      <c r="G44" s="8" t="s">
        <v>50</v>
      </c>
      <c r="H44" s="11" t="n">
        <v>25200</v>
      </c>
      <c r="I44" s="11" t="n">
        <v>210</v>
      </c>
      <c r="J44" s="11" t="n">
        <f aca="false">H44*Assumptions!$B$4</f>
        <v>504</v>
      </c>
      <c r="K44" s="11" t="n">
        <f aca="false">H44+J44</f>
        <v>25704</v>
      </c>
      <c r="L44" s="11" t="n">
        <f aca="false">IF(E44=0,"",K44/E44)</f>
        <v>214.2</v>
      </c>
      <c r="M44" s="8" t="n">
        <v>1</v>
      </c>
      <c r="N44" s="8" t="s">
        <v>69</v>
      </c>
      <c r="O44" s="9" t="s">
        <v>45</v>
      </c>
      <c r="P44" s="12" t="s">
        <v>109</v>
      </c>
    </row>
    <row r="45" customFormat="false" ht="15" hidden="false" customHeight="false" outlineLevel="0" collapsed="false">
      <c r="A45" s="13" t="n">
        <v>50395</v>
      </c>
      <c r="B45" s="14" t="s">
        <v>110</v>
      </c>
      <c r="C45" s="14" t="s">
        <v>40</v>
      </c>
      <c r="D45" s="13" t="s">
        <v>53</v>
      </c>
      <c r="E45" s="15" t="n">
        <v>20</v>
      </c>
      <c r="F45" s="14" t="s">
        <v>42</v>
      </c>
      <c r="G45" s="13" t="s">
        <v>50</v>
      </c>
      <c r="H45" s="16" t="n">
        <v>8200</v>
      </c>
      <c r="I45" s="16" t="n">
        <v>410</v>
      </c>
      <c r="J45" s="16" t="n">
        <f aca="false">H45*Assumptions!$B$4</f>
        <v>164</v>
      </c>
      <c r="K45" s="16" t="n">
        <f aca="false">H45+J45</f>
        <v>8364</v>
      </c>
      <c r="L45" s="16" t="n">
        <f aca="false">IF(E45=0,"",K45/E45)</f>
        <v>418.2</v>
      </c>
      <c r="M45" s="13" t="n">
        <v>40</v>
      </c>
      <c r="N45" s="13" t="s">
        <v>69</v>
      </c>
      <c r="O45" s="14" t="s">
        <v>45</v>
      </c>
      <c r="P45" s="17" t="s">
        <v>111</v>
      </c>
    </row>
    <row r="46" customFormat="false" ht="15" hidden="false" customHeight="false" outlineLevel="0" collapsed="false">
      <c r="A46" s="8" t="n">
        <v>50402</v>
      </c>
      <c r="B46" s="9" t="s">
        <v>110</v>
      </c>
      <c r="C46" s="9" t="s">
        <v>47</v>
      </c>
      <c r="D46" s="8" t="s">
        <v>60</v>
      </c>
      <c r="E46" s="10" t="n">
        <v>20</v>
      </c>
      <c r="F46" s="9" t="s">
        <v>57</v>
      </c>
      <c r="G46" s="8" t="s">
        <v>50</v>
      </c>
      <c r="H46" s="11" t="n">
        <v>6021</v>
      </c>
      <c r="I46" s="11" t="n">
        <v>301.05</v>
      </c>
      <c r="J46" s="11" t="n">
        <f aca="false">H46*Assumptions!$B$4</f>
        <v>120.42</v>
      </c>
      <c r="K46" s="11" t="n">
        <f aca="false">H46+J46</f>
        <v>6141.42</v>
      </c>
      <c r="L46" s="11" t="n">
        <f aca="false">IF(E46=0,"",K46/E46)</f>
        <v>307.071</v>
      </c>
      <c r="M46" s="8" t="n">
        <v>5</v>
      </c>
      <c r="N46" s="8" t="s">
        <v>69</v>
      </c>
      <c r="O46" s="9" t="s">
        <v>45</v>
      </c>
      <c r="P46" s="12" t="s">
        <v>112</v>
      </c>
    </row>
    <row r="47" customFormat="false" ht="15" hidden="false" customHeight="false" outlineLevel="0" collapsed="false">
      <c r="A47" s="13" t="n">
        <v>50335</v>
      </c>
      <c r="B47" s="14" t="s">
        <v>110</v>
      </c>
      <c r="C47" s="14" t="s">
        <v>74</v>
      </c>
      <c r="D47" s="13" t="s">
        <v>60</v>
      </c>
      <c r="E47" s="15" t="n">
        <v>342</v>
      </c>
      <c r="F47" s="14" t="s">
        <v>42</v>
      </c>
      <c r="G47" s="13" t="s">
        <v>50</v>
      </c>
      <c r="H47" s="16" t="n">
        <v>75240</v>
      </c>
      <c r="I47" s="16" t="n">
        <v>220</v>
      </c>
      <c r="J47" s="16" t="n">
        <f aca="false">H47*Assumptions!$B$4</f>
        <v>1504.8</v>
      </c>
      <c r="K47" s="16" t="n">
        <f aca="false">H47+J47</f>
        <v>76744.8</v>
      </c>
      <c r="L47" s="16" t="n">
        <f aca="false">IF(E47=0,"",K47/E47)</f>
        <v>224.4</v>
      </c>
      <c r="M47" s="13" t="n">
        <v>1</v>
      </c>
      <c r="N47" s="13" t="s">
        <v>69</v>
      </c>
      <c r="O47" s="14" t="s">
        <v>45</v>
      </c>
      <c r="P47" s="17" t="s">
        <v>113</v>
      </c>
    </row>
    <row r="48" customFormat="false" ht="15" hidden="false" customHeight="false" outlineLevel="0" collapsed="false">
      <c r="A48" s="8" t="n">
        <v>50355</v>
      </c>
      <c r="B48" s="9" t="s">
        <v>110</v>
      </c>
      <c r="C48" s="9" t="s">
        <v>74</v>
      </c>
      <c r="D48" s="8" t="s">
        <v>60</v>
      </c>
      <c r="E48" s="10" t="n">
        <v>142</v>
      </c>
      <c r="F48" s="9" t="s">
        <v>42</v>
      </c>
      <c r="G48" s="8" t="s">
        <v>50</v>
      </c>
      <c r="H48" s="11" t="n">
        <v>31240</v>
      </c>
      <c r="I48" s="11" t="n">
        <v>220</v>
      </c>
      <c r="J48" s="11" t="n">
        <f aca="false">H48*Assumptions!$B$4</f>
        <v>624.8</v>
      </c>
      <c r="K48" s="11" t="n">
        <f aca="false">H48+J48</f>
        <v>31864.8</v>
      </c>
      <c r="L48" s="11" t="n">
        <f aca="false">IF(E48=0,"",K48/E48)</f>
        <v>224.4</v>
      </c>
      <c r="M48" s="8" t="n">
        <v>0</v>
      </c>
      <c r="N48" s="8" t="s">
        <v>69</v>
      </c>
      <c r="O48" s="9" t="s">
        <v>45</v>
      </c>
      <c r="P48" s="12" t="s">
        <v>114</v>
      </c>
    </row>
    <row r="49" customFormat="false" ht="15" hidden="false" customHeight="false" outlineLevel="0" collapsed="false">
      <c r="A49" s="13" t="n">
        <v>50401</v>
      </c>
      <c r="B49" s="14" t="s">
        <v>115</v>
      </c>
      <c r="C49" s="14" t="s">
        <v>40</v>
      </c>
      <c r="D49" s="13" t="s">
        <v>53</v>
      </c>
      <c r="E49" s="15" t="n">
        <v>20</v>
      </c>
      <c r="F49" s="14" t="s">
        <v>42</v>
      </c>
      <c r="G49" s="13" t="s">
        <v>50</v>
      </c>
      <c r="H49" s="16" t="n">
        <v>6525</v>
      </c>
      <c r="I49" s="16" t="n">
        <v>326.25</v>
      </c>
      <c r="J49" s="16" t="n">
        <f aca="false">H49*Assumptions!$B$4</f>
        <v>130.5</v>
      </c>
      <c r="K49" s="16" t="n">
        <f aca="false">H49+J49</f>
        <v>6655.5</v>
      </c>
      <c r="L49" s="16" t="n">
        <f aca="false">IF(E49=0,"",K49/E49)</f>
        <v>332.775</v>
      </c>
      <c r="M49" s="13" t="n">
        <v>5</v>
      </c>
      <c r="N49" s="13" t="s">
        <v>69</v>
      </c>
      <c r="O49" s="14" t="s">
        <v>45</v>
      </c>
      <c r="P49" s="17" t="s">
        <v>116</v>
      </c>
    </row>
    <row r="50" customFormat="false" ht="15" hidden="false" customHeight="false" outlineLevel="0" collapsed="false">
      <c r="A50" s="8" t="n">
        <v>50394</v>
      </c>
      <c r="B50" s="9" t="s">
        <v>115</v>
      </c>
      <c r="C50" s="9" t="s">
        <v>47</v>
      </c>
      <c r="D50" s="8" t="s">
        <v>60</v>
      </c>
      <c r="E50" s="10" t="n">
        <v>20</v>
      </c>
      <c r="F50" s="9" t="s">
        <v>57</v>
      </c>
      <c r="G50" s="8" t="s">
        <v>50</v>
      </c>
      <c r="H50" s="11" t="n">
        <v>4100</v>
      </c>
      <c r="I50" s="11" t="n">
        <v>205</v>
      </c>
      <c r="J50" s="11" t="n">
        <f aca="false">H50*Assumptions!$B$4</f>
        <v>82</v>
      </c>
      <c r="K50" s="11" t="n">
        <f aca="false">H50+J50</f>
        <v>4182</v>
      </c>
      <c r="L50" s="11" t="n">
        <f aca="false">IF(E50=0,"",K50/E50)</f>
        <v>209.1</v>
      </c>
      <c r="M50" s="8" t="n">
        <v>0</v>
      </c>
      <c r="N50" s="8" t="s">
        <v>69</v>
      </c>
      <c r="O50" s="9" t="s">
        <v>45</v>
      </c>
      <c r="P50" s="12" t="s">
        <v>117</v>
      </c>
    </row>
    <row r="51" customFormat="false" ht="15" hidden="false" customHeight="false" outlineLevel="0" collapsed="false">
      <c r="A51" s="13" t="n">
        <v>50332</v>
      </c>
      <c r="B51" s="14" t="s">
        <v>115</v>
      </c>
      <c r="C51" s="14" t="s">
        <v>74</v>
      </c>
      <c r="D51" s="13" t="s">
        <v>60</v>
      </c>
      <c r="E51" s="15" t="n">
        <v>366</v>
      </c>
      <c r="F51" s="14" t="s">
        <v>42</v>
      </c>
      <c r="G51" s="13" t="s">
        <v>50</v>
      </c>
      <c r="H51" s="16" t="n">
        <v>75030</v>
      </c>
      <c r="I51" s="16" t="n">
        <v>205</v>
      </c>
      <c r="J51" s="16" t="n">
        <f aca="false">H51*Assumptions!$B$4</f>
        <v>1500.6</v>
      </c>
      <c r="K51" s="16" t="n">
        <f aca="false">H51+J51</f>
        <v>76530.6</v>
      </c>
      <c r="L51" s="16" t="n">
        <f aca="false">IF(E51=0,"",K51/E51)</f>
        <v>209.1</v>
      </c>
      <c r="M51" s="13" t="n">
        <v>1</v>
      </c>
      <c r="N51" s="13" t="s">
        <v>69</v>
      </c>
      <c r="O51" s="14" t="s">
        <v>45</v>
      </c>
      <c r="P51" s="17" t="s">
        <v>118</v>
      </c>
    </row>
    <row r="52" customFormat="false" ht="15" hidden="false" customHeight="false" outlineLevel="0" collapsed="false">
      <c r="A52" s="8" t="n">
        <v>50357</v>
      </c>
      <c r="B52" s="9" t="s">
        <v>115</v>
      </c>
      <c r="C52" s="9" t="s">
        <v>74</v>
      </c>
      <c r="D52" s="8" t="s">
        <v>60</v>
      </c>
      <c r="E52" s="10" t="n">
        <v>96</v>
      </c>
      <c r="F52" s="9" t="s">
        <v>42</v>
      </c>
      <c r="G52" s="8" t="s">
        <v>50</v>
      </c>
      <c r="H52" s="11" t="n">
        <v>19680</v>
      </c>
      <c r="I52" s="11" t="n">
        <v>205</v>
      </c>
      <c r="J52" s="11" t="n">
        <f aca="false">H52*Assumptions!$B$4</f>
        <v>393.6</v>
      </c>
      <c r="K52" s="11" t="n">
        <f aca="false">H52+J52</f>
        <v>20073.6</v>
      </c>
      <c r="L52" s="11" t="n">
        <f aca="false">IF(E52=0,"",K52/E52)</f>
        <v>209.1</v>
      </c>
      <c r="M52" s="8" t="n">
        <v>0</v>
      </c>
      <c r="N52" s="8" t="s">
        <v>69</v>
      </c>
      <c r="O52" s="9" t="s">
        <v>45</v>
      </c>
      <c r="P52" s="12" t="s">
        <v>119</v>
      </c>
    </row>
    <row r="53" customFormat="false" ht="15" hidden="false" customHeight="false" outlineLevel="0" collapsed="false">
      <c r="A53" s="13" t="n">
        <v>50393</v>
      </c>
      <c r="B53" s="14" t="s">
        <v>120</v>
      </c>
      <c r="C53" s="14" t="s">
        <v>40</v>
      </c>
      <c r="D53" s="13" t="s">
        <v>60</v>
      </c>
      <c r="E53" s="15" t="n">
        <v>20</v>
      </c>
      <c r="F53" s="14" t="s">
        <v>42</v>
      </c>
      <c r="G53" s="13" t="s">
        <v>50</v>
      </c>
      <c r="H53" s="16" t="n">
        <v>3000</v>
      </c>
      <c r="I53" s="16" t="n">
        <v>150</v>
      </c>
      <c r="J53" s="16" t="n">
        <f aca="false">H53*Assumptions!$B$4</f>
        <v>60</v>
      </c>
      <c r="K53" s="16" t="n">
        <f aca="false">H53+J53</f>
        <v>3060</v>
      </c>
      <c r="L53" s="16" t="n">
        <f aca="false">IF(E53=0,"",K53/E53)</f>
        <v>153</v>
      </c>
      <c r="M53" s="13" t="n">
        <v>1</v>
      </c>
      <c r="N53" s="13" t="s">
        <v>69</v>
      </c>
      <c r="O53" s="14" t="s">
        <v>45</v>
      </c>
      <c r="P53" s="17" t="s">
        <v>121</v>
      </c>
    </row>
    <row r="54" customFormat="false" ht="15" hidden="false" customHeight="false" outlineLevel="0" collapsed="false">
      <c r="A54" s="8" t="n">
        <v>50368</v>
      </c>
      <c r="B54" s="9" t="s">
        <v>120</v>
      </c>
      <c r="C54" s="9" t="s">
        <v>74</v>
      </c>
      <c r="D54" s="8" t="s">
        <v>48</v>
      </c>
      <c r="E54" s="10" t="n">
        <v>22</v>
      </c>
      <c r="F54" s="9" t="s">
        <v>42</v>
      </c>
      <c r="G54" s="8" t="s">
        <v>50</v>
      </c>
      <c r="H54" s="11" t="n">
        <v>6025</v>
      </c>
      <c r="I54" s="11" t="n">
        <v>273.86</v>
      </c>
      <c r="J54" s="11" t="n">
        <f aca="false">H54*Assumptions!$B$4</f>
        <v>120.5</v>
      </c>
      <c r="K54" s="11" t="n">
        <f aca="false">H54+J54</f>
        <v>6145.5</v>
      </c>
      <c r="L54" s="11" t="n">
        <f aca="false">IF(E54=0,"",K54/E54)</f>
        <v>279.340909090909</v>
      </c>
      <c r="M54" s="8" t="n">
        <v>24</v>
      </c>
      <c r="N54" s="8" t="s">
        <v>69</v>
      </c>
      <c r="O54" s="9" t="s">
        <v>45</v>
      </c>
      <c r="P54" s="12" t="s">
        <v>122</v>
      </c>
    </row>
    <row r="55" customFormat="false" ht="15" hidden="false" customHeight="false" outlineLevel="0" collapsed="false">
      <c r="A55" s="13" t="n">
        <v>50344</v>
      </c>
      <c r="B55" s="14" t="s">
        <v>120</v>
      </c>
      <c r="C55" s="14" t="s">
        <v>74</v>
      </c>
      <c r="D55" s="13" t="s">
        <v>60</v>
      </c>
      <c r="E55" s="15" t="n">
        <v>240</v>
      </c>
      <c r="F55" s="14" t="s">
        <v>42</v>
      </c>
      <c r="G55" s="13" t="s">
        <v>50</v>
      </c>
      <c r="H55" s="16" t="n">
        <v>36000</v>
      </c>
      <c r="I55" s="16" t="n">
        <v>150</v>
      </c>
      <c r="J55" s="16" t="n">
        <f aca="false">H55*Assumptions!$B$4</f>
        <v>720</v>
      </c>
      <c r="K55" s="16" t="n">
        <f aca="false">H55+J55</f>
        <v>36720</v>
      </c>
      <c r="L55" s="16" t="n">
        <f aca="false">IF(E55=0,"",K55/E55)</f>
        <v>153</v>
      </c>
      <c r="M55" s="13" t="n">
        <v>0</v>
      </c>
      <c r="N55" s="13" t="s">
        <v>69</v>
      </c>
      <c r="O55" s="14" t="s">
        <v>45</v>
      </c>
      <c r="P55" s="17" t="s">
        <v>123</v>
      </c>
    </row>
    <row r="56" customFormat="false" ht="15" hidden="false" customHeight="false" outlineLevel="0" collapsed="false">
      <c r="A56" s="8" t="n">
        <v>50358</v>
      </c>
      <c r="B56" s="9" t="s">
        <v>120</v>
      </c>
      <c r="C56" s="9" t="s">
        <v>74</v>
      </c>
      <c r="D56" s="8" t="s">
        <v>60</v>
      </c>
      <c r="E56" s="10" t="n">
        <v>95</v>
      </c>
      <c r="F56" s="9" t="s">
        <v>42</v>
      </c>
      <c r="G56" s="8" t="s">
        <v>50</v>
      </c>
      <c r="H56" s="11" t="n">
        <v>14250</v>
      </c>
      <c r="I56" s="11" t="n">
        <v>150</v>
      </c>
      <c r="J56" s="11" t="n">
        <f aca="false">H56*Assumptions!$B$4</f>
        <v>285</v>
      </c>
      <c r="K56" s="11" t="n">
        <f aca="false">H56+J56</f>
        <v>14535</v>
      </c>
      <c r="L56" s="11" t="n">
        <f aca="false">IF(E56=0,"",K56/E56)</f>
        <v>153</v>
      </c>
      <c r="M56" s="8" t="n">
        <v>1</v>
      </c>
      <c r="N56" s="8" t="s">
        <v>69</v>
      </c>
      <c r="O56" s="9" t="s">
        <v>45</v>
      </c>
      <c r="P56" s="12" t="s">
        <v>124</v>
      </c>
    </row>
    <row r="57" customFormat="false" ht="15" hidden="false" customHeight="false" outlineLevel="0" collapsed="false">
      <c r="A57" s="13" t="n">
        <v>50387</v>
      </c>
      <c r="B57" s="14" t="s">
        <v>120</v>
      </c>
      <c r="C57" s="14" t="s">
        <v>74</v>
      </c>
      <c r="D57" s="13" t="s">
        <v>60</v>
      </c>
      <c r="E57" s="15" t="n">
        <v>20</v>
      </c>
      <c r="F57" s="14" t="s">
        <v>57</v>
      </c>
      <c r="G57" s="13" t="s">
        <v>50</v>
      </c>
      <c r="H57" s="16" t="n">
        <v>3000</v>
      </c>
      <c r="I57" s="16" t="n">
        <v>150</v>
      </c>
      <c r="J57" s="16" t="n">
        <f aca="false">H57*Assumptions!$B$4</f>
        <v>60</v>
      </c>
      <c r="K57" s="16" t="n">
        <f aca="false">H57+J57</f>
        <v>3060</v>
      </c>
      <c r="L57" s="16" t="n">
        <f aca="false">IF(E57=0,"",K57/E57)</f>
        <v>153</v>
      </c>
      <c r="M57" s="13" t="n">
        <v>1</v>
      </c>
      <c r="N57" s="13" t="s">
        <v>69</v>
      </c>
      <c r="O57" s="14" t="s">
        <v>45</v>
      </c>
      <c r="P57" s="17" t="s">
        <v>125</v>
      </c>
    </row>
    <row r="58" customFormat="false" ht="15" hidden="false" customHeight="false" outlineLevel="0" collapsed="false">
      <c r="A58" s="8" t="n">
        <v>50392</v>
      </c>
      <c r="B58" s="9" t="s">
        <v>126</v>
      </c>
      <c r="C58" s="9" t="s">
        <v>74</v>
      </c>
      <c r="D58" s="8" t="s">
        <v>48</v>
      </c>
      <c r="E58" s="10" t="n">
        <v>20</v>
      </c>
      <c r="F58" s="9" t="s">
        <v>57</v>
      </c>
      <c r="G58" s="8" t="s">
        <v>50</v>
      </c>
      <c r="H58" s="11" t="n">
        <v>3200</v>
      </c>
      <c r="I58" s="11" t="n">
        <v>160</v>
      </c>
      <c r="J58" s="11" t="n">
        <f aca="false">H58*Assumptions!$B$4</f>
        <v>64</v>
      </c>
      <c r="K58" s="11" t="n">
        <f aca="false">H58+J58</f>
        <v>3264</v>
      </c>
      <c r="L58" s="11" t="n">
        <f aca="false">IF(E58=0,"",K58/E58)</f>
        <v>163.2</v>
      </c>
      <c r="M58" s="8" t="n">
        <v>0</v>
      </c>
      <c r="N58" s="8" t="s">
        <v>69</v>
      </c>
      <c r="O58" s="9" t="s">
        <v>45</v>
      </c>
      <c r="P58" s="12" t="s">
        <v>127</v>
      </c>
    </row>
    <row r="59" customFormat="false" ht="15" hidden="false" customHeight="false" outlineLevel="0" collapsed="false">
      <c r="A59" s="13" t="n">
        <v>50346</v>
      </c>
      <c r="B59" s="14" t="s">
        <v>126</v>
      </c>
      <c r="C59" s="14" t="s">
        <v>74</v>
      </c>
      <c r="D59" s="13" t="s">
        <v>53</v>
      </c>
      <c r="E59" s="15" t="n">
        <v>213</v>
      </c>
      <c r="F59" s="14" t="s">
        <v>42</v>
      </c>
      <c r="G59" s="13" t="s">
        <v>50</v>
      </c>
      <c r="H59" s="16" t="n">
        <v>31950</v>
      </c>
      <c r="I59" s="16" t="n">
        <v>150</v>
      </c>
      <c r="J59" s="16" t="n">
        <f aca="false">H59*Assumptions!$B$4</f>
        <v>639</v>
      </c>
      <c r="K59" s="16" t="n">
        <f aca="false">H59+J59</f>
        <v>32589</v>
      </c>
      <c r="L59" s="16" t="n">
        <f aca="false">IF(E59=0,"",K59/E59)</f>
        <v>153</v>
      </c>
      <c r="M59" s="13" t="n">
        <v>1</v>
      </c>
      <c r="N59" s="13" t="s">
        <v>69</v>
      </c>
      <c r="O59" s="14" t="s">
        <v>45</v>
      </c>
      <c r="P59" s="17" t="s">
        <v>128</v>
      </c>
    </row>
    <row r="60" customFormat="false" ht="15" hidden="false" customHeight="false" outlineLevel="0" collapsed="false">
      <c r="A60" s="8" t="n">
        <v>50359</v>
      </c>
      <c r="B60" s="9" t="s">
        <v>126</v>
      </c>
      <c r="C60" s="9" t="s">
        <v>74</v>
      </c>
      <c r="D60" s="8" t="s">
        <v>53</v>
      </c>
      <c r="E60" s="10" t="n">
        <v>72</v>
      </c>
      <c r="F60" s="9" t="s">
        <v>42</v>
      </c>
      <c r="G60" s="8" t="s">
        <v>50</v>
      </c>
      <c r="H60" s="11" t="n">
        <v>11100</v>
      </c>
      <c r="I60" s="11" t="n">
        <v>154.17</v>
      </c>
      <c r="J60" s="11" t="n">
        <f aca="false">H60*Assumptions!$B$4</f>
        <v>222</v>
      </c>
      <c r="K60" s="11" t="n">
        <f aca="false">H60+J60</f>
        <v>11322</v>
      </c>
      <c r="L60" s="11" t="n">
        <f aca="false">IF(E60=0,"",K60/E60)</f>
        <v>157.25</v>
      </c>
      <c r="M60" s="8" t="n">
        <v>5</v>
      </c>
      <c r="N60" s="8" t="s">
        <v>69</v>
      </c>
      <c r="O60" s="9" t="s">
        <v>45</v>
      </c>
      <c r="P60" s="12" t="s">
        <v>129</v>
      </c>
    </row>
    <row r="61" customFormat="false" ht="15" hidden="false" customHeight="false" outlineLevel="0" collapsed="false">
      <c r="A61" s="13" t="n">
        <v>50350</v>
      </c>
      <c r="B61" s="14" t="s">
        <v>126</v>
      </c>
      <c r="C61" s="14" t="s">
        <v>74</v>
      </c>
      <c r="D61" s="13" t="s">
        <v>60</v>
      </c>
      <c r="E61" s="15" t="n">
        <v>236</v>
      </c>
      <c r="F61" s="14" t="s">
        <v>42</v>
      </c>
      <c r="G61" s="13" t="s">
        <v>50</v>
      </c>
      <c r="H61" s="16" t="n">
        <v>34220</v>
      </c>
      <c r="I61" s="16" t="n">
        <v>145</v>
      </c>
      <c r="J61" s="16" t="n">
        <f aca="false">H61*Assumptions!$B$4</f>
        <v>684.4</v>
      </c>
      <c r="K61" s="16" t="n">
        <f aca="false">H61+J61</f>
        <v>34904.4</v>
      </c>
      <c r="L61" s="16" t="n">
        <f aca="false">IF(E61=0,"",K61/E61)</f>
        <v>147.9</v>
      </c>
      <c r="M61" s="13" t="n">
        <v>0</v>
      </c>
      <c r="N61" s="13" t="s">
        <v>69</v>
      </c>
      <c r="O61" s="14" t="s">
        <v>45</v>
      </c>
      <c r="P61" s="17" t="s">
        <v>130</v>
      </c>
    </row>
    <row r="62" customFormat="false" ht="15" hidden="false" customHeight="false" outlineLevel="0" collapsed="false">
      <c r="A62" s="8" t="n">
        <v>50334</v>
      </c>
      <c r="B62" s="9" t="s">
        <v>131</v>
      </c>
      <c r="C62" s="9" t="s">
        <v>74</v>
      </c>
      <c r="D62" s="8" t="s">
        <v>60</v>
      </c>
      <c r="E62" s="10" t="n">
        <v>377</v>
      </c>
      <c r="F62" s="9" t="s">
        <v>42</v>
      </c>
      <c r="G62" s="8" t="s">
        <v>50</v>
      </c>
      <c r="H62" s="11" t="n">
        <v>79170</v>
      </c>
      <c r="I62" s="11" t="n">
        <v>210</v>
      </c>
      <c r="J62" s="11" t="n">
        <f aca="false">H62*Assumptions!$B$4</f>
        <v>1583.4</v>
      </c>
      <c r="K62" s="11" t="n">
        <f aca="false">H62+J62</f>
        <v>80753.4</v>
      </c>
      <c r="L62" s="11" t="n">
        <f aca="false">IF(E62=0,"",K62/E62)</f>
        <v>214.2</v>
      </c>
      <c r="M62" s="8" t="n">
        <v>1</v>
      </c>
      <c r="N62" s="8" t="s">
        <v>69</v>
      </c>
      <c r="O62" s="9" t="s">
        <v>45</v>
      </c>
      <c r="P62" s="12" t="s">
        <v>132</v>
      </c>
    </row>
    <row r="63" customFormat="false" ht="15" hidden="false" customHeight="false" outlineLevel="0" collapsed="false">
      <c r="A63" s="13" t="n">
        <v>50356</v>
      </c>
      <c r="B63" s="14" t="s">
        <v>131</v>
      </c>
      <c r="C63" s="14" t="s">
        <v>74</v>
      </c>
      <c r="D63" s="13" t="s">
        <v>60</v>
      </c>
      <c r="E63" s="15" t="n">
        <v>120</v>
      </c>
      <c r="F63" s="14" t="s">
        <v>42</v>
      </c>
      <c r="G63" s="13" t="s">
        <v>50</v>
      </c>
      <c r="H63" s="16" t="n">
        <v>30100</v>
      </c>
      <c r="I63" s="16" t="n">
        <v>250.83</v>
      </c>
      <c r="J63" s="16" t="n">
        <f aca="false">H63*Assumptions!$B$4</f>
        <v>602</v>
      </c>
      <c r="K63" s="16" t="n">
        <f aca="false">H63+J63</f>
        <v>30702</v>
      </c>
      <c r="L63" s="16" t="n">
        <f aca="false">IF(E63=0,"",K63/E63)</f>
        <v>255.85</v>
      </c>
      <c r="M63" s="13" t="n">
        <v>3</v>
      </c>
      <c r="N63" s="13" t="s">
        <v>69</v>
      </c>
      <c r="O63" s="14" t="s">
        <v>45</v>
      </c>
      <c r="P63" s="17" t="s">
        <v>133</v>
      </c>
    </row>
    <row r="64" customFormat="false" ht="15" hidden="false" customHeight="false" outlineLevel="0" collapsed="false">
      <c r="A64" s="8" t="n">
        <v>50386</v>
      </c>
      <c r="B64" s="9" t="s">
        <v>131</v>
      </c>
      <c r="C64" s="9" t="s">
        <v>74</v>
      </c>
      <c r="D64" s="8" t="s">
        <v>60</v>
      </c>
      <c r="E64" s="10" t="n">
        <v>20</v>
      </c>
      <c r="F64" s="9" t="s">
        <v>49</v>
      </c>
      <c r="G64" s="8" t="s">
        <v>50</v>
      </c>
      <c r="H64" s="11" t="n">
        <v>4200</v>
      </c>
      <c r="I64" s="11" t="n">
        <v>210</v>
      </c>
      <c r="J64" s="11" t="n">
        <f aca="false">H64*Assumptions!$B$4</f>
        <v>84</v>
      </c>
      <c r="K64" s="11" t="n">
        <f aca="false">H64+J64</f>
        <v>4284</v>
      </c>
      <c r="L64" s="11" t="n">
        <f aca="false">IF(E64=0,"",K64/E64)</f>
        <v>214.2</v>
      </c>
      <c r="M64" s="8" t="n">
        <v>1</v>
      </c>
      <c r="N64" s="8" t="s">
        <v>69</v>
      </c>
      <c r="O64" s="9" t="s">
        <v>45</v>
      </c>
      <c r="P64" s="12" t="s">
        <v>134</v>
      </c>
    </row>
    <row r="65" customFormat="false" ht="15" hidden="false" customHeight="false" outlineLevel="0" collapsed="false">
      <c r="A65" s="13" t="n">
        <v>50391</v>
      </c>
      <c r="B65" s="14" t="s">
        <v>135</v>
      </c>
      <c r="C65" s="14" t="s">
        <v>40</v>
      </c>
      <c r="D65" s="13" t="s">
        <v>53</v>
      </c>
      <c r="E65" s="15" t="n">
        <v>20</v>
      </c>
      <c r="F65" s="14" t="s">
        <v>42</v>
      </c>
      <c r="G65" s="13" t="s">
        <v>50</v>
      </c>
      <c r="H65" s="16" t="n">
        <v>6000</v>
      </c>
      <c r="I65" s="16" t="n">
        <v>300</v>
      </c>
      <c r="J65" s="16" t="n">
        <f aca="false">H65*Assumptions!$B$4</f>
        <v>120</v>
      </c>
      <c r="K65" s="16" t="n">
        <f aca="false">H65+J65</f>
        <v>6120</v>
      </c>
      <c r="L65" s="16" t="n">
        <f aca="false">IF(E65=0,"",K65/E65)</f>
        <v>306</v>
      </c>
      <c r="M65" s="13" t="n">
        <v>11</v>
      </c>
      <c r="N65" s="13" t="s">
        <v>136</v>
      </c>
      <c r="O65" s="14" t="s">
        <v>45</v>
      </c>
      <c r="P65" s="17" t="s">
        <v>137</v>
      </c>
    </row>
    <row r="66" customFormat="false" ht="15" hidden="false" customHeight="false" outlineLevel="0" collapsed="false">
      <c r="A66" s="8" t="n">
        <v>50341</v>
      </c>
      <c r="B66" s="9" t="s">
        <v>135</v>
      </c>
      <c r="C66" s="9" t="s">
        <v>74</v>
      </c>
      <c r="D66" s="8" t="s">
        <v>60</v>
      </c>
      <c r="E66" s="10" t="n">
        <v>288</v>
      </c>
      <c r="F66" s="9" t="s">
        <v>42</v>
      </c>
      <c r="G66" s="8" t="s">
        <v>50</v>
      </c>
      <c r="H66" s="11" t="n">
        <v>50400</v>
      </c>
      <c r="I66" s="11" t="n">
        <v>175</v>
      </c>
      <c r="J66" s="11" t="n">
        <f aca="false">H66*Assumptions!$B$4</f>
        <v>1008</v>
      </c>
      <c r="K66" s="11" t="n">
        <f aca="false">H66+J66</f>
        <v>51408</v>
      </c>
      <c r="L66" s="11" t="n">
        <f aca="false">IF(E66=0,"",K66/E66)</f>
        <v>178.5</v>
      </c>
      <c r="M66" s="8" t="n">
        <v>0</v>
      </c>
      <c r="N66" s="8" t="s">
        <v>69</v>
      </c>
      <c r="O66" s="9" t="s">
        <v>45</v>
      </c>
      <c r="P66" s="12" t="s">
        <v>138</v>
      </c>
    </row>
    <row r="67" customFormat="false" ht="15" hidden="false" customHeight="false" outlineLevel="0" collapsed="false">
      <c r="A67" s="13" t="n">
        <v>50352</v>
      </c>
      <c r="B67" s="14" t="s">
        <v>135</v>
      </c>
      <c r="C67" s="14" t="s">
        <v>74</v>
      </c>
      <c r="D67" s="13" t="s">
        <v>60</v>
      </c>
      <c r="E67" s="15" t="n">
        <v>166</v>
      </c>
      <c r="F67" s="14" t="s">
        <v>42</v>
      </c>
      <c r="G67" s="13" t="s">
        <v>50</v>
      </c>
      <c r="H67" s="16" t="n">
        <v>29050</v>
      </c>
      <c r="I67" s="16" t="n">
        <v>175</v>
      </c>
      <c r="J67" s="16" t="n">
        <f aca="false">H67*Assumptions!$B$4</f>
        <v>581</v>
      </c>
      <c r="K67" s="16" t="n">
        <f aca="false">H67+J67</f>
        <v>29631</v>
      </c>
      <c r="L67" s="16" t="n">
        <f aca="false">IF(E67=0,"",K67/E67)</f>
        <v>178.5</v>
      </c>
      <c r="M67" s="13" t="n">
        <v>0</v>
      </c>
      <c r="N67" s="13" t="s">
        <v>136</v>
      </c>
      <c r="O67" s="14" t="s">
        <v>45</v>
      </c>
      <c r="P67" s="17" t="s">
        <v>139</v>
      </c>
    </row>
    <row r="68" customFormat="false" ht="15" hidden="false" customHeight="false" outlineLevel="0" collapsed="false">
      <c r="A68" s="8" t="n">
        <v>50385</v>
      </c>
      <c r="B68" s="9" t="s">
        <v>140</v>
      </c>
      <c r="C68" s="9" t="s">
        <v>40</v>
      </c>
      <c r="D68" s="8" t="s">
        <v>53</v>
      </c>
      <c r="E68" s="10" t="n">
        <v>20</v>
      </c>
      <c r="F68" s="9" t="s">
        <v>42</v>
      </c>
      <c r="G68" s="8" t="s">
        <v>50</v>
      </c>
      <c r="H68" s="11" t="n">
        <v>3125</v>
      </c>
      <c r="I68" s="11" t="n">
        <v>156.25</v>
      </c>
      <c r="J68" s="11" t="n">
        <f aca="false">H68*Assumptions!$B$4</f>
        <v>62.5</v>
      </c>
      <c r="K68" s="11" t="n">
        <f aca="false">H68+J68</f>
        <v>3187.5</v>
      </c>
      <c r="L68" s="11" t="n">
        <f aca="false">IF(E68=0,"",K68/E68)</f>
        <v>159.375</v>
      </c>
      <c r="M68" s="8" t="n">
        <v>4</v>
      </c>
      <c r="N68" s="8" t="s">
        <v>136</v>
      </c>
      <c r="O68" s="9" t="s">
        <v>45</v>
      </c>
      <c r="P68" s="12" t="s">
        <v>141</v>
      </c>
    </row>
    <row r="69" customFormat="false" ht="15" hidden="false" customHeight="false" outlineLevel="0" collapsed="false">
      <c r="A69" s="13" t="n">
        <v>50383</v>
      </c>
      <c r="B69" s="14" t="s">
        <v>140</v>
      </c>
      <c r="C69" s="14" t="s">
        <v>74</v>
      </c>
      <c r="D69" s="13" t="s">
        <v>48</v>
      </c>
      <c r="E69" s="15" t="n">
        <v>20</v>
      </c>
      <c r="F69" s="14" t="s">
        <v>57</v>
      </c>
      <c r="G69" s="13" t="s">
        <v>50</v>
      </c>
      <c r="H69" s="16" t="n">
        <v>3625</v>
      </c>
      <c r="I69" s="16" t="n">
        <v>181.25</v>
      </c>
      <c r="J69" s="16" t="n">
        <f aca="false">H69*Assumptions!$B$4</f>
        <v>72.5</v>
      </c>
      <c r="K69" s="16" t="n">
        <f aca="false">H69+J69</f>
        <v>3697.5</v>
      </c>
      <c r="L69" s="16" t="n">
        <f aca="false">IF(E69=0,"",K69/E69)</f>
        <v>184.875</v>
      </c>
      <c r="M69" s="13" t="n">
        <v>2</v>
      </c>
      <c r="N69" s="13" t="s">
        <v>136</v>
      </c>
      <c r="O69" s="14" t="s">
        <v>45</v>
      </c>
      <c r="P69" s="17" t="s">
        <v>142</v>
      </c>
    </row>
    <row r="70" customFormat="false" ht="15" hidden="false" customHeight="false" outlineLevel="0" collapsed="false">
      <c r="A70" s="8" t="n">
        <v>50390</v>
      </c>
      <c r="B70" s="9" t="s">
        <v>140</v>
      </c>
      <c r="C70" s="9" t="s">
        <v>74</v>
      </c>
      <c r="D70" s="8" t="s">
        <v>48</v>
      </c>
      <c r="E70" s="10" t="n">
        <v>20</v>
      </c>
      <c r="F70" s="9" t="s">
        <v>49</v>
      </c>
      <c r="G70" s="8" t="s">
        <v>50</v>
      </c>
      <c r="H70" s="11" t="n">
        <v>3675</v>
      </c>
      <c r="I70" s="11" t="n">
        <v>183.75</v>
      </c>
      <c r="J70" s="11" t="n">
        <f aca="false">H70*Assumptions!$B$4</f>
        <v>73.5</v>
      </c>
      <c r="K70" s="11" t="n">
        <f aca="false">H70+J70</f>
        <v>3748.5</v>
      </c>
      <c r="L70" s="11" t="n">
        <f aca="false">IF(E70=0,"",K70/E70)</f>
        <v>187.425</v>
      </c>
      <c r="M70" s="8" t="n">
        <v>6</v>
      </c>
      <c r="N70" s="8" t="s">
        <v>136</v>
      </c>
      <c r="O70" s="9" t="s">
        <v>45</v>
      </c>
      <c r="P70" s="12" t="s">
        <v>143</v>
      </c>
    </row>
    <row r="71" customFormat="false" ht="15" hidden="false" customHeight="false" outlineLevel="0" collapsed="false">
      <c r="A71" s="13" t="n">
        <v>50338</v>
      </c>
      <c r="B71" s="14" t="s">
        <v>140</v>
      </c>
      <c r="C71" s="14" t="s">
        <v>74</v>
      </c>
      <c r="D71" s="13" t="s">
        <v>53</v>
      </c>
      <c r="E71" s="15" t="n">
        <v>279</v>
      </c>
      <c r="F71" s="14" t="s">
        <v>42</v>
      </c>
      <c r="G71" s="13" t="s">
        <v>50</v>
      </c>
      <c r="H71" s="16" t="n">
        <v>41850</v>
      </c>
      <c r="I71" s="16" t="n">
        <v>150</v>
      </c>
      <c r="J71" s="16" t="n">
        <f aca="false">H71*Assumptions!$B$4</f>
        <v>837</v>
      </c>
      <c r="K71" s="16" t="n">
        <f aca="false">H71+J71</f>
        <v>42687</v>
      </c>
      <c r="L71" s="16" t="n">
        <f aca="false">IF(E71=0,"",K71/E71)</f>
        <v>153</v>
      </c>
      <c r="M71" s="13" t="n">
        <v>1</v>
      </c>
      <c r="N71" s="13" t="s">
        <v>136</v>
      </c>
      <c r="O71" s="14" t="s">
        <v>45</v>
      </c>
      <c r="P71" s="17" t="s">
        <v>144</v>
      </c>
    </row>
    <row r="72" customFormat="false" ht="15" hidden="false" customHeight="false" outlineLevel="0" collapsed="false">
      <c r="A72" s="8" t="n">
        <v>50330</v>
      </c>
      <c r="B72" s="9" t="s">
        <v>140</v>
      </c>
      <c r="C72" s="9" t="s">
        <v>74</v>
      </c>
      <c r="D72" s="8" t="s">
        <v>60</v>
      </c>
      <c r="E72" s="10" t="n">
        <v>457</v>
      </c>
      <c r="F72" s="9" t="s">
        <v>42</v>
      </c>
      <c r="G72" s="8" t="s">
        <v>50</v>
      </c>
      <c r="H72" s="11" t="n">
        <v>63980</v>
      </c>
      <c r="I72" s="11" t="n">
        <v>140</v>
      </c>
      <c r="J72" s="11" t="n">
        <f aca="false">H72*Assumptions!$B$4</f>
        <v>1279.6</v>
      </c>
      <c r="K72" s="11" t="n">
        <f aca="false">H72+J72</f>
        <v>65259.6</v>
      </c>
      <c r="L72" s="11" t="n">
        <f aca="false">IF(E72=0,"",K72/E72)</f>
        <v>142.8</v>
      </c>
      <c r="M72" s="8" t="n">
        <v>0</v>
      </c>
      <c r="N72" s="8" t="s">
        <v>136</v>
      </c>
      <c r="O72" s="9" t="s">
        <v>45</v>
      </c>
      <c r="P72" s="12" t="s">
        <v>145</v>
      </c>
    </row>
    <row r="73" customFormat="false" ht="15" hidden="false" customHeight="false" outlineLevel="0" collapsed="false">
      <c r="A73" s="13" t="n">
        <v>50388</v>
      </c>
      <c r="B73" s="14" t="s">
        <v>146</v>
      </c>
      <c r="C73" s="14" t="s">
        <v>40</v>
      </c>
      <c r="D73" s="13" t="s">
        <v>53</v>
      </c>
      <c r="E73" s="15" t="n">
        <v>20</v>
      </c>
      <c r="F73" s="14" t="s">
        <v>42</v>
      </c>
      <c r="G73" s="13" t="s">
        <v>50</v>
      </c>
      <c r="H73" s="16" t="n">
        <v>2100</v>
      </c>
      <c r="I73" s="16" t="n">
        <v>105</v>
      </c>
      <c r="J73" s="16" t="n">
        <f aca="false">H73*Assumptions!$B$4</f>
        <v>42</v>
      </c>
      <c r="K73" s="16" t="n">
        <f aca="false">H73+J73</f>
        <v>2142</v>
      </c>
      <c r="L73" s="16" t="n">
        <f aca="false">IF(E73=0,"",K73/E73)</f>
        <v>107.1</v>
      </c>
      <c r="M73" s="13" t="n">
        <v>1</v>
      </c>
      <c r="N73" s="13" t="s">
        <v>136</v>
      </c>
      <c r="O73" s="14" t="s">
        <v>45</v>
      </c>
      <c r="P73" s="17" t="s">
        <v>147</v>
      </c>
    </row>
    <row r="74" customFormat="false" ht="15" hidden="false" customHeight="false" outlineLevel="0" collapsed="false">
      <c r="A74" s="8" t="n">
        <v>50384</v>
      </c>
      <c r="B74" s="9" t="s">
        <v>146</v>
      </c>
      <c r="C74" s="9" t="s">
        <v>74</v>
      </c>
      <c r="D74" s="8" t="s">
        <v>48</v>
      </c>
      <c r="E74" s="10" t="n">
        <v>20</v>
      </c>
      <c r="F74" s="9" t="s">
        <v>42</v>
      </c>
      <c r="G74" s="8" t="s">
        <v>50</v>
      </c>
      <c r="H74" s="11" t="n">
        <v>2500</v>
      </c>
      <c r="I74" s="11" t="n">
        <v>125</v>
      </c>
      <c r="J74" s="11" t="n">
        <f aca="false">H74*Assumptions!$B$4</f>
        <v>50</v>
      </c>
      <c r="K74" s="11" t="n">
        <f aca="false">H74+J74</f>
        <v>2550</v>
      </c>
      <c r="L74" s="11" t="n">
        <f aca="false">IF(E74=0,"",K74/E74)</f>
        <v>127.5</v>
      </c>
      <c r="M74" s="8" t="n">
        <v>1</v>
      </c>
      <c r="N74" s="8" t="s">
        <v>136</v>
      </c>
      <c r="O74" s="9" t="s">
        <v>45</v>
      </c>
      <c r="P74" s="12" t="s">
        <v>148</v>
      </c>
    </row>
    <row r="75" customFormat="false" ht="15" hidden="false" customHeight="false" outlineLevel="0" collapsed="false">
      <c r="A75" s="13" t="n">
        <v>50342</v>
      </c>
      <c r="B75" s="14" t="s">
        <v>146</v>
      </c>
      <c r="C75" s="14" t="s">
        <v>74</v>
      </c>
      <c r="D75" s="13" t="s">
        <v>60</v>
      </c>
      <c r="E75" s="15" t="n">
        <v>265</v>
      </c>
      <c r="F75" s="14" t="s">
        <v>42</v>
      </c>
      <c r="G75" s="13" t="s">
        <v>50</v>
      </c>
      <c r="H75" s="16" t="n">
        <v>26500</v>
      </c>
      <c r="I75" s="16" t="n">
        <v>100</v>
      </c>
      <c r="J75" s="16" t="n">
        <f aca="false">H75*Assumptions!$B$4</f>
        <v>530</v>
      </c>
      <c r="K75" s="16" t="n">
        <f aca="false">H75+J75</f>
        <v>27030</v>
      </c>
      <c r="L75" s="16" t="n">
        <f aca="false">IF(E75=0,"",K75/E75)</f>
        <v>102</v>
      </c>
      <c r="M75" s="13" t="n">
        <v>0</v>
      </c>
      <c r="N75" s="13" t="s">
        <v>136</v>
      </c>
      <c r="O75" s="14" t="s">
        <v>45</v>
      </c>
      <c r="P75" s="17" t="s">
        <v>149</v>
      </c>
    </row>
    <row r="76" customFormat="false" ht="15" hidden="false" customHeight="false" outlineLevel="0" collapsed="false">
      <c r="A76" s="8" t="n">
        <v>50382</v>
      </c>
      <c r="B76" s="9" t="s">
        <v>150</v>
      </c>
      <c r="C76" s="9" t="s">
        <v>47</v>
      </c>
      <c r="D76" s="8" t="s">
        <v>53</v>
      </c>
      <c r="E76" s="10" t="n">
        <v>20</v>
      </c>
      <c r="F76" s="9" t="s">
        <v>42</v>
      </c>
      <c r="G76" s="8" t="s">
        <v>50</v>
      </c>
      <c r="H76" s="11" t="n">
        <v>4725</v>
      </c>
      <c r="I76" s="11" t="n">
        <v>236.25</v>
      </c>
      <c r="J76" s="11" t="n">
        <f aca="false">H76*Assumptions!$B$4</f>
        <v>94.5</v>
      </c>
      <c r="K76" s="11" t="n">
        <f aca="false">H76+J76</f>
        <v>4819.5</v>
      </c>
      <c r="L76" s="11" t="n">
        <f aca="false">IF(E76=0,"",K76/E76)</f>
        <v>240.975</v>
      </c>
      <c r="M76" s="8" t="n">
        <v>10</v>
      </c>
      <c r="N76" s="8" t="s">
        <v>136</v>
      </c>
      <c r="O76" s="9" t="s">
        <v>45</v>
      </c>
      <c r="P76" s="12" t="s">
        <v>151</v>
      </c>
    </row>
    <row r="77" customFormat="false" ht="15" hidden="false" customHeight="false" outlineLevel="0" collapsed="false">
      <c r="A77" s="13" t="n">
        <v>50336</v>
      </c>
      <c r="B77" s="14" t="s">
        <v>150</v>
      </c>
      <c r="C77" s="14" t="s">
        <v>74</v>
      </c>
      <c r="D77" s="13" t="s">
        <v>60</v>
      </c>
      <c r="E77" s="15" t="n">
        <v>308</v>
      </c>
      <c r="F77" s="14" t="s">
        <v>42</v>
      </c>
      <c r="G77" s="13" t="s">
        <v>50</v>
      </c>
      <c r="H77" s="16" t="n">
        <v>56250</v>
      </c>
      <c r="I77" s="16" t="n">
        <v>182.63</v>
      </c>
      <c r="J77" s="16" t="n">
        <f aca="false">H77*Assumptions!$B$4</f>
        <v>1125</v>
      </c>
      <c r="K77" s="16" t="n">
        <f aca="false">H77+J77</f>
        <v>57375</v>
      </c>
      <c r="L77" s="16" t="n">
        <f aca="false">IF(E77=0,"",K77/E77)</f>
        <v>186.282467532468</v>
      </c>
      <c r="M77" s="13" t="n">
        <v>24</v>
      </c>
      <c r="N77" s="13" t="s">
        <v>136</v>
      </c>
      <c r="O77" s="14" t="s">
        <v>45</v>
      </c>
      <c r="P77" s="17" t="s">
        <v>152</v>
      </c>
    </row>
    <row r="78" customFormat="false" ht="15" hidden="false" customHeight="false" outlineLevel="0" collapsed="false">
      <c r="A78" s="8" t="n">
        <v>50389</v>
      </c>
      <c r="B78" s="9" t="s">
        <v>153</v>
      </c>
      <c r="C78" s="9" t="s">
        <v>154</v>
      </c>
      <c r="D78" s="8" t="s">
        <v>48</v>
      </c>
      <c r="E78" s="10" t="n">
        <v>20</v>
      </c>
      <c r="F78" s="9" t="s">
        <v>42</v>
      </c>
      <c r="G78" s="8" t="s">
        <v>50</v>
      </c>
      <c r="H78" s="11" t="n">
        <v>3025</v>
      </c>
      <c r="I78" s="11" t="n">
        <v>151.25</v>
      </c>
      <c r="J78" s="11" t="n">
        <f aca="false">H78*Assumptions!$B$4</f>
        <v>60.5</v>
      </c>
      <c r="K78" s="11" t="n">
        <f aca="false">H78+J78</f>
        <v>3085.5</v>
      </c>
      <c r="L78" s="11" t="n">
        <f aca="false">IF(E78=0,"",K78/E78)</f>
        <v>154.275</v>
      </c>
      <c r="M78" s="8" t="n">
        <v>18</v>
      </c>
      <c r="N78" s="8" t="s">
        <v>136</v>
      </c>
      <c r="O78" s="9" t="s">
        <v>45</v>
      </c>
      <c r="P78" s="12" t="s">
        <v>155</v>
      </c>
    </row>
    <row r="79" customFormat="false" ht="15" hidden="false" customHeight="false" outlineLevel="0" collapsed="false">
      <c r="A79" s="13" t="n">
        <v>50333</v>
      </c>
      <c r="B79" s="14" t="s">
        <v>153</v>
      </c>
      <c r="C79" s="14" t="s">
        <v>154</v>
      </c>
      <c r="D79" s="13" t="s">
        <v>60</v>
      </c>
      <c r="E79" s="15" t="n">
        <v>418</v>
      </c>
      <c r="F79" s="14" t="s">
        <v>42</v>
      </c>
      <c r="G79" s="13" t="s">
        <v>50</v>
      </c>
      <c r="H79" s="16" t="n">
        <v>35530</v>
      </c>
      <c r="I79" s="16" t="n">
        <v>85</v>
      </c>
      <c r="J79" s="16" t="n">
        <f aca="false">H79*Assumptions!$B$4</f>
        <v>710.6</v>
      </c>
      <c r="K79" s="16" t="n">
        <f aca="false">H79+J79</f>
        <v>36240.6</v>
      </c>
      <c r="L79" s="16" t="n">
        <f aca="false">IF(E79=0,"",K79/E79)</f>
        <v>86.7</v>
      </c>
      <c r="M79" s="13" t="n">
        <v>1</v>
      </c>
      <c r="N79" s="13" t="s">
        <v>136</v>
      </c>
      <c r="O79" s="14" t="s">
        <v>45</v>
      </c>
      <c r="P79" s="17" t="s">
        <v>156</v>
      </c>
    </row>
    <row r="80" customFormat="false" ht="15" hidden="false" customHeight="false" outlineLevel="0" collapsed="false">
      <c r="A80" s="8" t="n">
        <v>50378</v>
      </c>
      <c r="B80" s="9" t="s">
        <v>157</v>
      </c>
      <c r="C80" s="9" t="s">
        <v>74</v>
      </c>
      <c r="D80" s="8" t="s">
        <v>53</v>
      </c>
      <c r="E80" s="10" t="n">
        <v>20</v>
      </c>
      <c r="F80" s="9" t="s">
        <v>42</v>
      </c>
      <c r="G80" s="8" t="s">
        <v>50</v>
      </c>
      <c r="H80" s="11" t="n">
        <v>1300</v>
      </c>
      <c r="I80" s="11" t="n">
        <v>65</v>
      </c>
      <c r="J80" s="11" t="n">
        <f aca="false">H80*Assumptions!$B$4</f>
        <v>26</v>
      </c>
      <c r="K80" s="11" t="n">
        <f aca="false">H80+J80</f>
        <v>1326</v>
      </c>
      <c r="L80" s="11" t="n">
        <f aca="false">IF(E80=0,"",K80/E80)</f>
        <v>66.3</v>
      </c>
      <c r="M80" s="8" t="n">
        <v>1</v>
      </c>
      <c r="N80" s="8" t="s">
        <v>136</v>
      </c>
      <c r="O80" s="9" t="s">
        <v>45</v>
      </c>
      <c r="P80" s="12" t="s">
        <v>158</v>
      </c>
    </row>
    <row r="81" customFormat="false" ht="15" hidden="false" customHeight="false" outlineLevel="0" collapsed="false">
      <c r="A81" s="13" t="n">
        <v>50381</v>
      </c>
      <c r="B81" s="14" t="s">
        <v>159</v>
      </c>
      <c r="C81" s="14" t="s">
        <v>40</v>
      </c>
      <c r="D81" s="13" t="s">
        <v>60</v>
      </c>
      <c r="E81" s="15" t="n">
        <v>20</v>
      </c>
      <c r="F81" s="14" t="s">
        <v>42</v>
      </c>
      <c r="G81" s="13" t="s">
        <v>50</v>
      </c>
      <c r="H81" s="16" t="n">
        <v>2300</v>
      </c>
      <c r="I81" s="16" t="n">
        <v>115</v>
      </c>
      <c r="J81" s="16" t="n">
        <f aca="false">H81*Assumptions!$B$4</f>
        <v>46</v>
      </c>
      <c r="K81" s="16" t="n">
        <f aca="false">H81+J81</f>
        <v>2346</v>
      </c>
      <c r="L81" s="16" t="n">
        <f aca="false">IF(E81=0,"",K81/E81)</f>
        <v>117.3</v>
      </c>
      <c r="M81" s="13" t="n">
        <v>1</v>
      </c>
      <c r="N81" s="13" t="s">
        <v>136</v>
      </c>
      <c r="O81" s="14" t="s">
        <v>45</v>
      </c>
      <c r="P81" s="17" t="s">
        <v>160</v>
      </c>
    </row>
    <row r="82" customFormat="false" ht="15" hidden="false" customHeight="false" outlineLevel="0" collapsed="false">
      <c r="A82" s="8" t="n">
        <v>50377</v>
      </c>
      <c r="B82" s="9" t="s">
        <v>159</v>
      </c>
      <c r="C82" s="9" t="s">
        <v>47</v>
      </c>
      <c r="D82" s="8" t="s">
        <v>53</v>
      </c>
      <c r="E82" s="10" t="n">
        <v>20</v>
      </c>
      <c r="F82" s="9" t="s">
        <v>42</v>
      </c>
      <c r="G82" s="8" t="s">
        <v>50</v>
      </c>
      <c r="H82" s="11" t="n">
        <v>2525</v>
      </c>
      <c r="I82" s="11" t="n">
        <v>126.25</v>
      </c>
      <c r="J82" s="11" t="n">
        <f aca="false">H82*Assumptions!$B$4</f>
        <v>50.5</v>
      </c>
      <c r="K82" s="11" t="n">
        <f aca="false">H82+J82</f>
        <v>2575.5</v>
      </c>
      <c r="L82" s="11" t="n">
        <f aca="false">IF(E82=0,"",K82/E82)</f>
        <v>128.775</v>
      </c>
      <c r="M82" s="8" t="n">
        <v>2</v>
      </c>
      <c r="N82" s="8" t="s">
        <v>136</v>
      </c>
      <c r="O82" s="9" t="s">
        <v>45</v>
      </c>
      <c r="P82" s="12" t="s">
        <v>161</v>
      </c>
    </row>
    <row r="83" customFormat="false" ht="15" hidden="false" customHeight="false" outlineLevel="0" collapsed="false">
      <c r="A83" s="13" t="n">
        <v>50376</v>
      </c>
      <c r="B83" s="14" t="s">
        <v>162</v>
      </c>
      <c r="C83" s="14" t="s">
        <v>154</v>
      </c>
      <c r="D83" s="13" t="s">
        <v>53</v>
      </c>
      <c r="E83" s="15" t="n">
        <v>20</v>
      </c>
      <c r="F83" s="14" t="s">
        <v>42</v>
      </c>
      <c r="G83" s="13" t="s">
        <v>50</v>
      </c>
      <c r="H83" s="16" t="n">
        <v>2225</v>
      </c>
      <c r="I83" s="16" t="n">
        <v>111.25</v>
      </c>
      <c r="J83" s="16" t="n">
        <f aca="false">H83*Assumptions!$B$4</f>
        <v>44.5</v>
      </c>
      <c r="K83" s="16" t="n">
        <f aca="false">H83+J83</f>
        <v>2269.5</v>
      </c>
      <c r="L83" s="16" t="n">
        <f aca="false">IF(E83=0,"",K83/E83)</f>
        <v>113.475</v>
      </c>
      <c r="M83" s="13" t="n">
        <v>3</v>
      </c>
      <c r="N83" s="13" t="s">
        <v>136</v>
      </c>
      <c r="O83" s="14" t="s">
        <v>45</v>
      </c>
      <c r="P83" s="17" t="s">
        <v>163</v>
      </c>
    </row>
    <row r="84" customFormat="false" ht="15" hidden="false" customHeight="false" outlineLevel="0" collapsed="false">
      <c r="A84" s="8" t="n">
        <v>50380</v>
      </c>
      <c r="B84" s="9" t="s">
        <v>162</v>
      </c>
      <c r="C84" s="9" t="s">
        <v>164</v>
      </c>
      <c r="D84" s="8" t="s">
        <v>60</v>
      </c>
      <c r="E84" s="10" t="n">
        <v>20</v>
      </c>
      <c r="F84" s="9" t="s">
        <v>165</v>
      </c>
      <c r="G84" s="8" t="s">
        <v>50</v>
      </c>
      <c r="H84" s="11" t="n">
        <v>1800</v>
      </c>
      <c r="I84" s="11" t="n">
        <v>90</v>
      </c>
      <c r="J84" s="11" t="n">
        <f aca="false">H84*Assumptions!$B$4</f>
        <v>36</v>
      </c>
      <c r="K84" s="11" t="n">
        <f aca="false">H84+J84</f>
        <v>1836</v>
      </c>
      <c r="L84" s="11" t="n">
        <f aca="false">IF(E84=0,"",K84/E84)</f>
        <v>91.8</v>
      </c>
      <c r="M84" s="8" t="n">
        <v>0</v>
      </c>
      <c r="N84" s="8" t="s">
        <v>136</v>
      </c>
      <c r="O84" s="9" t="s">
        <v>45</v>
      </c>
      <c r="P84" s="12" t="s">
        <v>166</v>
      </c>
    </row>
    <row r="85" customFormat="false" ht="15" hidden="false" customHeight="false" outlineLevel="0" collapsed="false">
      <c r="A85" s="13" t="n">
        <v>50372</v>
      </c>
      <c r="B85" s="14" t="s">
        <v>167</v>
      </c>
      <c r="C85" s="14" t="s">
        <v>74</v>
      </c>
      <c r="D85" s="13" t="s">
        <v>53</v>
      </c>
      <c r="E85" s="15" t="n">
        <v>20</v>
      </c>
      <c r="F85" s="14" t="s">
        <v>42</v>
      </c>
      <c r="G85" s="13" t="s">
        <v>50</v>
      </c>
      <c r="H85" s="16" t="n">
        <v>2800</v>
      </c>
      <c r="I85" s="16" t="n">
        <v>140</v>
      </c>
      <c r="J85" s="16" t="n">
        <f aca="false">H85*Assumptions!$B$4</f>
        <v>56</v>
      </c>
      <c r="K85" s="16" t="n">
        <f aca="false">H85+J85</f>
        <v>2856</v>
      </c>
      <c r="L85" s="16" t="n">
        <f aca="false">IF(E85=0,"",K85/E85)</f>
        <v>142.8</v>
      </c>
      <c r="M85" s="13" t="n">
        <v>24</v>
      </c>
      <c r="N85" s="13" t="s">
        <v>136</v>
      </c>
      <c r="O85" s="14" t="s">
        <v>45</v>
      </c>
      <c r="P85" s="17" t="s">
        <v>168</v>
      </c>
    </row>
    <row r="86" customFormat="false" ht="15" hidden="false" customHeight="false" outlineLevel="0" collapsed="false">
      <c r="A86" s="8" t="n">
        <v>50371</v>
      </c>
      <c r="B86" s="9" t="s">
        <v>167</v>
      </c>
      <c r="C86" s="9" t="s">
        <v>154</v>
      </c>
      <c r="D86" s="8" t="s">
        <v>53</v>
      </c>
      <c r="E86" s="10" t="n">
        <v>20</v>
      </c>
      <c r="F86" s="9" t="s">
        <v>49</v>
      </c>
      <c r="G86" s="8" t="s">
        <v>50</v>
      </c>
      <c r="H86" s="11" t="n">
        <v>1600</v>
      </c>
      <c r="I86" s="11" t="n">
        <v>80</v>
      </c>
      <c r="J86" s="11" t="n">
        <f aca="false">H86*Assumptions!$B$4</f>
        <v>32</v>
      </c>
      <c r="K86" s="11" t="n">
        <f aca="false">H86+J86</f>
        <v>1632</v>
      </c>
      <c r="L86" s="11" t="n">
        <f aca="false">IF(E86=0,"",K86/E86)</f>
        <v>81.6</v>
      </c>
      <c r="M86" s="8" t="n">
        <v>0</v>
      </c>
      <c r="N86" s="8" t="s">
        <v>136</v>
      </c>
      <c r="O86" s="9" t="s">
        <v>45</v>
      </c>
      <c r="P86" s="12" t="s">
        <v>169</v>
      </c>
    </row>
    <row r="87" customFormat="false" ht="15" hidden="false" customHeight="false" outlineLevel="0" collapsed="false">
      <c r="A87" s="13" t="n">
        <v>50340</v>
      </c>
      <c r="B87" s="14" t="s">
        <v>167</v>
      </c>
      <c r="C87" s="14" t="s">
        <v>154</v>
      </c>
      <c r="D87" s="13" t="s">
        <v>60</v>
      </c>
      <c r="E87" s="15" t="n">
        <v>250</v>
      </c>
      <c r="F87" s="14" t="s">
        <v>42</v>
      </c>
      <c r="G87" s="13" t="s">
        <v>50</v>
      </c>
      <c r="H87" s="16" t="n">
        <v>18750</v>
      </c>
      <c r="I87" s="16" t="n">
        <v>75</v>
      </c>
      <c r="J87" s="16" t="n">
        <f aca="false">H87*Assumptions!$B$4</f>
        <v>375</v>
      </c>
      <c r="K87" s="16" t="n">
        <f aca="false">H87+J87</f>
        <v>19125</v>
      </c>
      <c r="L87" s="16" t="n">
        <f aca="false">IF(E87=0,"",K87/E87)</f>
        <v>76.5</v>
      </c>
      <c r="M87" s="13" t="n">
        <v>0</v>
      </c>
      <c r="N87" s="13" t="s">
        <v>136</v>
      </c>
      <c r="O87" s="14" t="s">
        <v>45</v>
      </c>
      <c r="P87" s="17" t="s">
        <v>170</v>
      </c>
    </row>
    <row r="88" customFormat="false" ht="15" hidden="false" customHeight="false" outlineLevel="0" collapsed="false">
      <c r="A88" s="8" t="n">
        <v>50351</v>
      </c>
      <c r="B88" s="9" t="s">
        <v>167</v>
      </c>
      <c r="C88" s="9" t="s">
        <v>154</v>
      </c>
      <c r="D88" s="8" t="s">
        <v>60</v>
      </c>
      <c r="E88" s="10" t="n">
        <v>170</v>
      </c>
      <c r="F88" s="9" t="s">
        <v>42</v>
      </c>
      <c r="G88" s="8" t="s">
        <v>50</v>
      </c>
      <c r="H88" s="11" t="n">
        <v>12750</v>
      </c>
      <c r="I88" s="11" t="n">
        <v>75</v>
      </c>
      <c r="J88" s="11" t="n">
        <f aca="false">H88*Assumptions!$B$4</f>
        <v>255</v>
      </c>
      <c r="K88" s="11" t="n">
        <f aca="false">H88+J88</f>
        <v>13005</v>
      </c>
      <c r="L88" s="11" t="n">
        <f aca="false">IF(E88=0,"",K88/E88)</f>
        <v>76.5</v>
      </c>
      <c r="M88" s="8" t="n">
        <v>1</v>
      </c>
      <c r="N88" s="8" t="s">
        <v>136</v>
      </c>
      <c r="O88" s="9" t="s">
        <v>45</v>
      </c>
      <c r="P88" s="12" t="s">
        <v>171</v>
      </c>
    </row>
    <row r="89" customFormat="false" ht="15" hidden="false" customHeight="false" outlineLevel="0" collapsed="false">
      <c r="A89" s="13" t="n">
        <v>50365</v>
      </c>
      <c r="B89" s="14" t="s">
        <v>167</v>
      </c>
      <c r="C89" s="14" t="s">
        <v>164</v>
      </c>
      <c r="D89" s="13" t="s">
        <v>172</v>
      </c>
      <c r="E89" s="15" t="n">
        <v>30</v>
      </c>
      <c r="F89" s="14" t="s">
        <v>165</v>
      </c>
      <c r="G89" s="13" t="s">
        <v>50</v>
      </c>
      <c r="H89" s="16" t="n">
        <v>2550</v>
      </c>
      <c r="I89" s="16" t="n">
        <v>85</v>
      </c>
      <c r="J89" s="16" t="n">
        <f aca="false">H89*Assumptions!$B$4</f>
        <v>51</v>
      </c>
      <c r="K89" s="16" t="n">
        <f aca="false">H89+J89</f>
        <v>2601</v>
      </c>
      <c r="L89" s="16" t="n">
        <f aca="false">IF(E89=0,"",K89/E89)</f>
        <v>86.7</v>
      </c>
      <c r="M89" s="13" t="n">
        <v>1</v>
      </c>
      <c r="N89" s="13" t="s">
        <v>136</v>
      </c>
      <c r="O89" s="14" t="s">
        <v>45</v>
      </c>
      <c r="P89" s="17" t="s">
        <v>173</v>
      </c>
    </row>
    <row r="90" customFormat="false" ht="15" hidden="false" customHeight="false" outlineLevel="0" collapsed="false">
      <c r="A90" s="8" t="n">
        <v>50425</v>
      </c>
      <c r="B90" s="9" t="s">
        <v>174</v>
      </c>
      <c r="C90" s="9" t="s">
        <v>47</v>
      </c>
      <c r="D90" s="8" t="s">
        <v>60</v>
      </c>
      <c r="E90" s="10" t="n">
        <v>20</v>
      </c>
      <c r="F90" s="9" t="s">
        <v>42</v>
      </c>
      <c r="G90" s="8" t="s">
        <v>50</v>
      </c>
      <c r="H90" s="11" t="n">
        <v>800</v>
      </c>
      <c r="I90" s="11" t="n">
        <v>40</v>
      </c>
      <c r="J90" s="11" t="n">
        <f aca="false">H90*Assumptions!$B$4</f>
        <v>16</v>
      </c>
      <c r="K90" s="11" t="n">
        <f aca="false">H90+J90</f>
        <v>816</v>
      </c>
      <c r="L90" s="11" t="n">
        <f aca="false">IF(E90=0,"",K90/E90)</f>
        <v>40.8</v>
      </c>
      <c r="M90" s="8" t="n">
        <v>1</v>
      </c>
      <c r="N90" s="8" t="s">
        <v>69</v>
      </c>
      <c r="O90" s="9" t="s">
        <v>45</v>
      </c>
      <c r="P90" s="12" t="s">
        <v>175</v>
      </c>
    </row>
    <row r="91" customFormat="false" ht="15" hidden="false" customHeight="false" outlineLevel="0" collapsed="false">
      <c r="A91" s="13" t="n">
        <v>50362</v>
      </c>
      <c r="B91" s="14" t="s">
        <v>174</v>
      </c>
      <c r="C91" s="14" t="s">
        <v>154</v>
      </c>
      <c r="D91" s="13" t="s">
        <v>176</v>
      </c>
      <c r="E91" s="15" t="n">
        <v>40</v>
      </c>
      <c r="F91" s="14" t="s">
        <v>165</v>
      </c>
      <c r="G91" s="13" t="s">
        <v>50</v>
      </c>
      <c r="H91" s="16" t="n">
        <v>1600</v>
      </c>
      <c r="I91" s="16" t="n">
        <v>40</v>
      </c>
      <c r="J91" s="16" t="n">
        <f aca="false">H91*Assumptions!$B$4</f>
        <v>32</v>
      </c>
      <c r="K91" s="16" t="n">
        <f aca="false">H91+J91</f>
        <v>1632</v>
      </c>
      <c r="L91" s="16" t="n">
        <f aca="false">IF(E91=0,"",K91/E91)</f>
        <v>40.8</v>
      </c>
      <c r="M91" s="13" t="n">
        <v>0</v>
      </c>
      <c r="N91" s="13" t="s">
        <v>69</v>
      </c>
      <c r="O91" s="14" t="s">
        <v>45</v>
      </c>
      <c r="P91" s="17" t="s">
        <v>177</v>
      </c>
    </row>
    <row r="92" customFormat="false" ht="15" hidden="false" customHeight="false" outlineLevel="0" collapsed="false">
      <c r="A92" s="8" t="n">
        <v>50339</v>
      </c>
      <c r="B92" s="9" t="s">
        <v>174</v>
      </c>
      <c r="C92" s="9" t="s">
        <v>154</v>
      </c>
      <c r="D92" s="8" t="s">
        <v>60</v>
      </c>
      <c r="E92" s="10" t="n">
        <v>272</v>
      </c>
      <c r="F92" s="9" t="s">
        <v>42</v>
      </c>
      <c r="G92" s="8" t="s">
        <v>50</v>
      </c>
      <c r="H92" s="11" t="n">
        <v>12050</v>
      </c>
      <c r="I92" s="11" t="n">
        <v>44.3</v>
      </c>
      <c r="J92" s="11" t="n">
        <f aca="false">H92*Assumptions!$B$4</f>
        <v>241</v>
      </c>
      <c r="K92" s="11" t="n">
        <f aca="false">H92+J92</f>
        <v>12291</v>
      </c>
      <c r="L92" s="11" t="n">
        <f aca="false">IF(E92=0,"",K92/E92)</f>
        <v>45.1875</v>
      </c>
      <c r="M92" s="8" t="n">
        <v>3</v>
      </c>
      <c r="N92" s="8" t="s">
        <v>69</v>
      </c>
      <c r="O92" s="9" t="s">
        <v>45</v>
      </c>
      <c r="P92" s="12" t="s">
        <v>178</v>
      </c>
    </row>
    <row r="93" customFormat="false" ht="15" hidden="false" customHeight="false" outlineLevel="0" collapsed="false">
      <c r="A93" s="13" t="n">
        <v>50366</v>
      </c>
      <c r="B93" s="14" t="s">
        <v>179</v>
      </c>
      <c r="C93" s="14" t="s">
        <v>164</v>
      </c>
      <c r="D93" s="13" t="s">
        <v>48</v>
      </c>
      <c r="E93" s="15" t="n">
        <v>30</v>
      </c>
      <c r="F93" s="14" t="s">
        <v>42</v>
      </c>
      <c r="G93" s="13" t="s">
        <v>50</v>
      </c>
      <c r="H93" s="16" t="n">
        <v>1275</v>
      </c>
      <c r="I93" s="16" t="n">
        <v>42.5</v>
      </c>
      <c r="J93" s="16" t="n">
        <f aca="false">H93*Assumptions!$B$4</f>
        <v>25.5</v>
      </c>
      <c r="K93" s="16" t="n">
        <f aca="false">H93+J93</f>
        <v>1300.5</v>
      </c>
      <c r="L93" s="16" t="n">
        <f aca="false">IF(E93=0,"",K93/E93)</f>
        <v>43.35</v>
      </c>
      <c r="M93" s="13" t="n">
        <v>7</v>
      </c>
      <c r="N93" s="13" t="s">
        <v>136</v>
      </c>
      <c r="O93" s="14" t="s">
        <v>45</v>
      </c>
      <c r="P93" s="17" t="s">
        <v>180</v>
      </c>
    </row>
    <row r="94" customFormat="false" ht="15" hidden="false" customHeight="false" outlineLevel="0" collapsed="false">
      <c r="A94" s="8" t="n">
        <v>50363</v>
      </c>
      <c r="B94" s="9" t="s">
        <v>179</v>
      </c>
      <c r="C94" s="9" t="s">
        <v>164</v>
      </c>
      <c r="D94" s="8" t="s">
        <v>60</v>
      </c>
      <c r="E94" s="10" t="n">
        <v>40</v>
      </c>
      <c r="F94" s="9" t="s">
        <v>165</v>
      </c>
      <c r="G94" s="8" t="s">
        <v>50</v>
      </c>
      <c r="H94" s="11" t="n">
        <v>800</v>
      </c>
      <c r="I94" s="11" t="n">
        <v>20</v>
      </c>
      <c r="J94" s="11" t="n">
        <f aca="false">H94*Assumptions!$B$4</f>
        <v>16</v>
      </c>
      <c r="K94" s="11" t="n">
        <f aca="false">H94+J94</f>
        <v>816</v>
      </c>
      <c r="L94" s="11" t="n">
        <f aca="false">IF(E94=0,"",K94/E94)</f>
        <v>20.4</v>
      </c>
      <c r="M94" s="8" t="n">
        <v>0</v>
      </c>
      <c r="N94" s="8" t="s">
        <v>136</v>
      </c>
      <c r="O94" s="9" t="s">
        <v>45</v>
      </c>
      <c r="P94" s="12" t="s">
        <v>181</v>
      </c>
    </row>
    <row r="95" customFormat="false" ht="15" hidden="false" customHeight="false" outlineLevel="0" collapsed="false">
      <c r="A95" s="13" t="n">
        <v>50367</v>
      </c>
      <c r="B95" s="14" t="s">
        <v>182</v>
      </c>
      <c r="C95" s="14" t="s">
        <v>164</v>
      </c>
      <c r="D95" s="13" t="s">
        <v>48</v>
      </c>
      <c r="E95" s="15" t="n">
        <v>30</v>
      </c>
      <c r="F95" s="14" t="s">
        <v>42</v>
      </c>
      <c r="G95" s="13" t="s">
        <v>50</v>
      </c>
      <c r="H95" s="16" t="n">
        <v>2670</v>
      </c>
      <c r="I95" s="16" t="n">
        <v>89</v>
      </c>
      <c r="J95" s="16" t="n">
        <f aca="false">H95*Assumptions!$B$4</f>
        <v>53.4</v>
      </c>
      <c r="K95" s="16" t="n">
        <f aca="false">H95+J95</f>
        <v>2723.4</v>
      </c>
      <c r="L95" s="16" t="n">
        <f aca="false">IF(E95=0,"",K95/E95)</f>
        <v>90.78</v>
      </c>
      <c r="M95" s="13" t="n">
        <v>7</v>
      </c>
      <c r="N95" s="13" t="s">
        <v>69</v>
      </c>
      <c r="O95" s="14" t="s">
        <v>45</v>
      </c>
      <c r="P95" s="17" t="s">
        <v>183</v>
      </c>
    </row>
    <row r="96" customFormat="false" ht="15" hidden="false" customHeight="false" outlineLevel="0" collapsed="false">
      <c r="A96" s="8" t="n">
        <v>50364</v>
      </c>
      <c r="B96" s="9" t="s">
        <v>184</v>
      </c>
      <c r="C96" s="9" t="s">
        <v>164</v>
      </c>
      <c r="D96" s="8" t="s">
        <v>53</v>
      </c>
      <c r="E96" s="10" t="n">
        <v>35</v>
      </c>
      <c r="F96" s="9" t="s">
        <v>165</v>
      </c>
      <c r="G96" s="8" t="s">
        <v>50</v>
      </c>
      <c r="H96" s="11" t="n">
        <v>1225</v>
      </c>
      <c r="I96" s="11" t="n">
        <v>35</v>
      </c>
      <c r="J96" s="11" t="n">
        <f aca="false">H96*Assumptions!$B$4</f>
        <v>24.5</v>
      </c>
      <c r="K96" s="11" t="n">
        <f aca="false">H96+J96</f>
        <v>1249.5</v>
      </c>
      <c r="L96" s="11" t="n">
        <f aca="false">IF(E96=0,"",K96/E96)</f>
        <v>35.7</v>
      </c>
      <c r="M96" s="8" t="n">
        <v>1</v>
      </c>
      <c r="N96" s="8" t="s">
        <v>69</v>
      </c>
      <c r="O96" s="9" t="s">
        <v>45</v>
      </c>
      <c r="P96" s="12" t="s">
        <v>185</v>
      </c>
    </row>
    <row r="97" customFormat="false" ht="15" hidden="false" customHeight="false" outlineLevel="0" collapsed="false">
      <c r="A97" s="13" t="n">
        <v>50361</v>
      </c>
      <c r="B97" s="14" t="s">
        <v>186</v>
      </c>
      <c r="C97" s="14" t="s">
        <v>164</v>
      </c>
      <c r="D97" s="13" t="s">
        <v>176</v>
      </c>
      <c r="E97" s="15" t="n">
        <v>50</v>
      </c>
      <c r="F97" s="14" t="s">
        <v>165</v>
      </c>
      <c r="G97" s="13" t="s">
        <v>50</v>
      </c>
      <c r="H97" s="16" t="n">
        <v>610</v>
      </c>
      <c r="I97" s="16" t="n">
        <v>12.2</v>
      </c>
      <c r="J97" s="16" t="n">
        <f aca="false">H97*Assumptions!$B$4</f>
        <v>12.2</v>
      </c>
      <c r="K97" s="16" t="n">
        <f aca="false">H97+J97</f>
        <v>622.2</v>
      </c>
      <c r="L97" s="16" t="n">
        <f aca="false">IF(E97=0,"",K97/E97)</f>
        <v>12.444</v>
      </c>
      <c r="M97" s="13" t="n">
        <v>4</v>
      </c>
      <c r="N97" s="13" t="s">
        <v>69</v>
      </c>
      <c r="O97" s="14" t="s">
        <v>45</v>
      </c>
      <c r="P97" s="17" t="s">
        <v>187</v>
      </c>
    </row>
    <row r="98" customFormat="false" ht="15" hidden="false" customHeight="false" outlineLevel="0" collapsed="false">
      <c r="A98" s="18" t="s">
        <v>188</v>
      </c>
      <c r="B98" s="18"/>
      <c r="C98" s="18"/>
      <c r="D98" s="18"/>
      <c r="E98" s="19" t="n">
        <f aca="false">SUM(E2:E97)</f>
        <v>8732</v>
      </c>
      <c r="F98" s="20"/>
      <c r="G98" s="20"/>
      <c r="H98" s="21" t="n">
        <f aca="false">SUM(H2:H97)</f>
        <v>1686225</v>
      </c>
      <c r="I98" s="20"/>
      <c r="J98" s="21" t="n">
        <f aca="false">SUM(J2:J97)</f>
        <v>33724.5</v>
      </c>
      <c r="K98" s="21" t="n">
        <f aca="false">SUM(K2:K97)</f>
        <v>1719949.5</v>
      </c>
      <c r="L98" s="21" t="n">
        <f aca="false">IF(E98=0,"",K98/E98)</f>
        <v>196.970854328905</v>
      </c>
      <c r="M98" s="22" t="s">
        <v>189</v>
      </c>
      <c r="N98" s="22"/>
      <c r="O98" s="22"/>
      <c r="P98" s="22"/>
    </row>
  </sheetData>
  <autoFilter ref="A1:P97"/>
  <mergeCells count="2">
    <mergeCell ref="A98:D98"/>
    <mergeCell ref="M98:P98"/>
  </mergeCells>
  <hyperlinks>
    <hyperlink ref="P2" r:id="rId1" display="https://bstock.com/superior/auction/auction/view/id/50370/"/>
    <hyperlink ref="P3" r:id="rId2" display="https://bstock.com/superior/auction/auction/view/id/50424/"/>
    <hyperlink ref="P4" r:id="rId3" display="https://bstock.com/superior/auction/auction/view/id/50429/"/>
    <hyperlink ref="P5" r:id="rId4" display="https://bstock.com/superior/auction/auction/view/id/50423/"/>
    <hyperlink ref="P6" r:id="rId5" display="https://bstock.com/superior/auction/auction/view/id/50427/"/>
    <hyperlink ref="P7" r:id="rId6" display="https://bstock.com/superior/auction/auction/view/id/50422/"/>
    <hyperlink ref="P8" r:id="rId7" display="https://bstock.com/superior/auction/auction/view/id/50428/"/>
    <hyperlink ref="P9" r:id="rId8" display="https://bstock.com/superior/auction/auction/view/id/50412/"/>
    <hyperlink ref="P10" r:id="rId9" display="https://bstock.com/superior/auction/auction/view/id/50416/"/>
    <hyperlink ref="P11" r:id="rId10" display="https://bstock.com/superior/auction/auction/view/id/50411/"/>
    <hyperlink ref="P12" r:id="rId11" display="https://bstock.com/superior/auction/auction/view/id/50417/"/>
    <hyperlink ref="P13" r:id="rId12" display="https://bstock.com/superior/auction/auction/view/id/50410/"/>
    <hyperlink ref="P14" r:id="rId13" display="https://bstock.com/superior/auction/auction/view/id/50415/"/>
    <hyperlink ref="P15" r:id="rId14" display="https://bstock.com/superior/auction/auction/view/id/50420/"/>
    <hyperlink ref="P16" r:id="rId15" display="https://bstock.com/superior/auction/auction/view/id/50414/"/>
    <hyperlink ref="P17" r:id="rId16" display="https://bstock.com/superior/auction/auction/view/id/50409/"/>
    <hyperlink ref="P18" r:id="rId17" display="https://bstock.com/superior/auction/auction/view/id/50419/"/>
    <hyperlink ref="P19" r:id="rId18" display="https://bstock.com/superior/auction/auction/view/id/50348/"/>
    <hyperlink ref="P20" r:id="rId19" display="https://bstock.com/superior/auction/auction/view/id/50426/"/>
    <hyperlink ref="P21" r:id="rId20" display="https://bstock.com/superior/auction/auction/view/id/50421/"/>
    <hyperlink ref="P22" r:id="rId21" display="https://bstock.com/superior/auction/auction/view/id/50369/"/>
    <hyperlink ref="P23" r:id="rId22" display="https://bstock.com/superior/auction/auction/view/id/50408/"/>
    <hyperlink ref="P24" r:id="rId23" display="https://bstock.com/superior/auction/auction/view/id/50407/"/>
    <hyperlink ref="P25" r:id="rId24" display="https://bstock.com/superior/auction/auction/view/id/50406/"/>
    <hyperlink ref="P26" r:id="rId25" display="https://bstock.com/superior/auction/auction/view/id/50400/"/>
    <hyperlink ref="P27" r:id="rId26" display="https://bstock.com/superior/auction/auction/view/id/50343/"/>
    <hyperlink ref="P28" r:id="rId27" display="https://bstock.com/superior/auction/auction/view/id/50347/"/>
    <hyperlink ref="P29" r:id="rId28" display="https://bstock.com/superior/auction/auction/view/id/50413/"/>
    <hyperlink ref="P30" r:id="rId29" display="https://bstock.com/superior/auction/auction/view/id/50399/"/>
    <hyperlink ref="P31" r:id="rId30" display="https://bstock.com/superior/auction/auction/view/id/50405/"/>
    <hyperlink ref="P32" r:id="rId31" display="https://bstock.com/superior/auction/auction/view/id/50345/"/>
    <hyperlink ref="P33" r:id="rId32" display="https://bstock.com/superior/auction/auction/view/id/50354/"/>
    <hyperlink ref="P34" r:id="rId33" display="https://bstock.com/superior/auction/auction/view/id/50404/"/>
    <hyperlink ref="P35" r:id="rId34" display="https://bstock.com/superior/auction/auction/view/id/50397/"/>
    <hyperlink ref="P36" r:id="rId35" display="https://bstock.com/superior/auction/auction/view/id/50349/"/>
    <hyperlink ref="P37" r:id="rId36" display="https://bstock.com/superior/auction/auction/view/id/50360/"/>
    <hyperlink ref="P38" r:id="rId37" display="https://bstock.com/superior/auction/auction/view/id/50398/"/>
    <hyperlink ref="P39" r:id="rId38" display="https://bstock.com/superior/auction/auction/view/id/50418/"/>
    <hyperlink ref="P40" r:id="rId39" display="https://bstock.com/superior/auction/auction/view/id/50403/"/>
    <hyperlink ref="P41" r:id="rId40" display="https://bstock.com/superior/auction/auction/view/id/50396/"/>
    <hyperlink ref="P42" r:id="rId41" display="https://bstock.com/superior/auction/auction/view/id/50337/"/>
    <hyperlink ref="P43" r:id="rId42" display="https://bstock.com/superior/auction/auction/view/id/50331/"/>
    <hyperlink ref="P44" r:id="rId43" display="https://bstock.com/superior/auction/auction/view/id/50353/"/>
    <hyperlink ref="P45" r:id="rId44" display="https://bstock.com/superior/auction/auction/view/id/50395/"/>
    <hyperlink ref="P46" r:id="rId45" display="https://bstock.com/superior/auction/auction/view/id/50402/"/>
    <hyperlink ref="P47" r:id="rId46" display="https://bstock.com/superior/auction/auction/view/id/50335/"/>
    <hyperlink ref="P48" r:id="rId47" display="https://bstock.com/superior/auction/auction/view/id/50355/"/>
    <hyperlink ref="P49" r:id="rId48" display="https://bstock.com/superior/auction/auction/view/id/50401/"/>
    <hyperlink ref="P50" r:id="rId49" display="https://bstock.com/superior/auction/auction/view/id/50394/"/>
    <hyperlink ref="P51" r:id="rId50" display="https://bstock.com/superior/auction/auction/view/id/50332/"/>
    <hyperlink ref="P52" r:id="rId51" display="https://bstock.com/superior/auction/auction/view/id/50357/"/>
    <hyperlink ref="P53" r:id="rId52" display="https://bstock.com/superior/auction/auction/view/id/50393/"/>
    <hyperlink ref="P54" r:id="rId53" display="https://bstock.com/superior/auction/auction/view/id/50368/"/>
    <hyperlink ref="P55" r:id="rId54" display="https://bstock.com/superior/auction/auction/view/id/50344/"/>
    <hyperlink ref="P56" r:id="rId55" display="https://bstock.com/superior/auction/auction/view/id/50358/"/>
    <hyperlink ref="P57" r:id="rId56" display="https://bstock.com/superior/auction/auction/view/id/50387/"/>
    <hyperlink ref="P58" r:id="rId57" display="https://bstock.com/superior/auction/auction/view/id/50392/"/>
    <hyperlink ref="P59" r:id="rId58" display="https://bstock.com/superior/auction/auction/view/id/50346/"/>
    <hyperlink ref="P60" r:id="rId59" display="https://bstock.com/superior/auction/auction/view/id/50359/"/>
    <hyperlink ref="P61" r:id="rId60" display="https://bstock.com/superior/auction/auction/view/id/50350/"/>
    <hyperlink ref="P62" r:id="rId61" display="https://bstock.com/superior/auction/auction/view/id/50334/"/>
    <hyperlink ref="P63" r:id="rId62" display="https://bstock.com/superior/auction/auction/view/id/50356/"/>
    <hyperlink ref="P64" r:id="rId63" display="https://bstock.com/superior/auction/auction/view/id/50386/"/>
    <hyperlink ref="P65" r:id="rId64" display="https://bstock.com/superior/auction/auction/view/id/50391/"/>
    <hyperlink ref="P66" r:id="rId65" display="https://bstock.com/superior/auction/auction/view/id/50341/"/>
    <hyperlink ref="P67" r:id="rId66" display="https://bstock.com/superior/auction/auction/view/id/50352/"/>
    <hyperlink ref="P68" r:id="rId67" display="https://bstock.com/superior/auction/auction/view/id/50385/"/>
    <hyperlink ref="P69" r:id="rId68" display="https://bstock.com/superior/auction/auction/view/id/50383/"/>
    <hyperlink ref="P70" r:id="rId69" display="https://bstock.com/superior/auction/auction/view/id/50390/"/>
    <hyperlink ref="P71" r:id="rId70" display="https://bstock.com/superior/auction/auction/view/id/50338/"/>
    <hyperlink ref="P72" r:id="rId71" display="https://bstock.com/superior/auction/auction/view/id/50330/"/>
    <hyperlink ref="P73" r:id="rId72" display="https://bstock.com/superior/auction/auction/view/id/50388/"/>
    <hyperlink ref="P74" r:id="rId73" display="https://bstock.com/superior/auction/auction/view/id/50384/"/>
    <hyperlink ref="P75" r:id="rId74" display="https://bstock.com/superior/auction/auction/view/id/50342/"/>
    <hyperlink ref="P76" r:id="rId75" display="https://bstock.com/superior/auction/auction/view/id/50382/"/>
    <hyperlink ref="P77" r:id="rId76" display="https://bstock.com/superior/auction/auction/view/id/50336/"/>
    <hyperlink ref="P78" r:id="rId77" display="https://bstock.com/superior/auction/auction/view/id/50389/"/>
    <hyperlink ref="P79" r:id="rId78" display="https://bstock.com/superior/auction/auction/view/id/50333/"/>
    <hyperlink ref="P80" r:id="rId79" display="https://bstock.com/superior/auction/auction/view/id/50378/"/>
    <hyperlink ref="P81" r:id="rId80" display="https://bstock.com/superior/auction/auction/view/id/50381/"/>
    <hyperlink ref="P82" r:id="rId81" display="https://bstock.com/superior/auction/auction/view/id/50377/"/>
    <hyperlink ref="P83" r:id="rId82" display="https://bstock.com/superior/auction/auction/view/id/50376/"/>
    <hyperlink ref="P84" r:id="rId83" display="https://bstock.com/superior/auction/auction/view/id/50380/"/>
    <hyperlink ref="P85" r:id="rId84" display="https://bstock.com/superior/auction/auction/view/id/50372/"/>
    <hyperlink ref="P86" r:id="rId85" display="https://bstock.com/superior/auction/auction/view/id/50371/"/>
    <hyperlink ref="P87" r:id="rId86" display="https://bstock.com/superior/auction/auction/view/id/50340/"/>
    <hyperlink ref="P88" r:id="rId87" display="https://bstock.com/superior/auction/auction/view/id/50351/"/>
    <hyperlink ref="P89" r:id="rId88" display="https://bstock.com/superior/auction/auction/view/id/50365/"/>
    <hyperlink ref="P90" r:id="rId89" display="https://bstock.com/superior/auction/auction/view/id/50425/"/>
    <hyperlink ref="P91" r:id="rId90" display="https://bstock.com/superior/auction/auction/view/id/50362/"/>
    <hyperlink ref="P92" r:id="rId91" display="https://bstock.com/superior/auction/auction/view/id/50339/"/>
    <hyperlink ref="P93" r:id="rId92" display="https://bstock.com/superior/auction/auction/view/id/50366/"/>
    <hyperlink ref="P94" r:id="rId93" display="https://bstock.com/superior/auction/auction/view/id/50363/"/>
    <hyperlink ref="P95" r:id="rId94" display="https://bstock.com/superior/auction/auction/view/id/50367/"/>
    <hyperlink ref="P96" r:id="rId95" display="https://bstock.com/superior/auction/auction/view/id/50364/"/>
    <hyperlink ref="P97" r:id="rId96" display="https://bstock.com/superior/auction/auction/view/id/50361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1" min="9" style="0" width="12"/>
    <col collapsed="false" customWidth="true" hidden="false" outlineLevel="0" max="13" min="12" style="0" width="11"/>
    <col collapsed="false" customWidth="true" hidden="false" outlineLevel="0" max="15" min="14" style="0" width="12"/>
    <col collapsed="false" customWidth="true" hidden="false" outlineLevel="0" max="19" min="16" style="0" width="14"/>
    <col collapsed="false" customWidth="true" hidden="false" outlineLevel="0" max="23" min="20" style="0" width="15"/>
    <col collapsed="false" customWidth="true" hidden="false" outlineLevel="0" max="24" min="24" style="0" width="30"/>
    <col collapsed="false" customWidth="true" hidden="false" outlineLevel="0" max="25" min="25" style="0" width="26"/>
    <col collapsed="false" customWidth="true" hidden="false" outlineLevel="0" max="26" min="26" style="0" width="44"/>
  </cols>
  <sheetData>
    <row r="1" customFormat="false" ht="42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28</v>
      </c>
      <c r="F1" s="7" t="s">
        <v>27</v>
      </c>
      <c r="G1" s="7" t="s">
        <v>34</v>
      </c>
      <c r="H1" s="7" t="s">
        <v>190</v>
      </c>
      <c r="I1" s="7" t="s">
        <v>191</v>
      </c>
      <c r="J1" s="7" t="s">
        <v>192</v>
      </c>
      <c r="K1" s="7" t="s">
        <v>193</v>
      </c>
      <c r="L1" s="7" t="s">
        <v>194</v>
      </c>
      <c r="M1" s="7" t="s">
        <v>195</v>
      </c>
      <c r="N1" s="7" t="s">
        <v>196</v>
      </c>
      <c r="O1" s="7" t="s">
        <v>197</v>
      </c>
      <c r="P1" s="23" t="s">
        <v>198</v>
      </c>
      <c r="Q1" s="23" t="s">
        <v>199</v>
      </c>
      <c r="R1" s="23" t="s">
        <v>200</v>
      </c>
      <c r="S1" s="23" t="s">
        <v>201</v>
      </c>
      <c r="T1" s="23" t="s">
        <v>202</v>
      </c>
      <c r="U1" s="23" t="s">
        <v>203</v>
      </c>
      <c r="V1" s="23" t="s">
        <v>204</v>
      </c>
      <c r="W1" s="23" t="s">
        <v>205</v>
      </c>
      <c r="X1" s="7" t="s">
        <v>206</v>
      </c>
      <c r="Y1" s="7" t="s">
        <v>207</v>
      </c>
      <c r="Z1" s="24" t="s">
        <v>208</v>
      </c>
    </row>
    <row r="2" customFormat="false" ht="15" hidden="false" customHeight="false" outlineLevel="0" collapsed="false">
      <c r="A2" s="8" t="n">
        <v>50370</v>
      </c>
      <c r="B2" s="9" t="s">
        <v>39</v>
      </c>
      <c r="C2" s="9" t="s">
        <v>40</v>
      </c>
      <c r="D2" s="8" t="s">
        <v>41</v>
      </c>
      <c r="E2" s="9" t="s">
        <v>42</v>
      </c>
      <c r="F2" s="10" t="n">
        <v>20</v>
      </c>
      <c r="G2" s="11" t="n">
        <f aca="false">'Auction Inventory'!L2</f>
        <v>1081.2</v>
      </c>
      <c r="H2" s="8" t="n">
        <v>3</v>
      </c>
      <c r="I2" s="11" t="n">
        <v>1199</v>
      </c>
      <c r="J2" s="11" t="n">
        <v>1442.49</v>
      </c>
      <c r="K2" s="11" t="n">
        <v>1479</v>
      </c>
      <c r="L2" s="8" t="s">
        <v>209</v>
      </c>
      <c r="M2" s="8" t="n">
        <v>14</v>
      </c>
      <c r="N2" s="11" t="n">
        <v>876</v>
      </c>
      <c r="O2" s="11" t="n">
        <v>1039</v>
      </c>
      <c r="P2" s="25" t="n">
        <f aca="false">IF(N2="","",N2-$G2)</f>
        <v>-205.2</v>
      </c>
      <c r="Q2" s="25" t="n">
        <f aca="false">IF(O2="","",O2-$G2)</f>
        <v>-42.2</v>
      </c>
      <c r="R2" s="25" t="n">
        <f aca="false">IF(I2="","",I2*(1-Assumptions!$B$5)-$G2)</f>
        <v>117.8</v>
      </c>
      <c r="S2" s="25" t="n">
        <f aca="false">IF(K2="","",K2*(1-Assumptions!$B$5)-$G2)</f>
        <v>397.8</v>
      </c>
      <c r="T2" s="25" t="n">
        <f aca="false">IF(P2="","",P2*$F2)</f>
        <v>-4104</v>
      </c>
      <c r="U2" s="25" t="n">
        <f aca="false">IF(Q2="","",Q2*$F2)</f>
        <v>-844.000000000001</v>
      </c>
      <c r="V2" s="25" t="n">
        <f aca="false">IF(R2="","",R2*$F2)</f>
        <v>2356</v>
      </c>
      <c r="W2" s="25" t="n">
        <f aca="false">IF(S2="","",S2*$F2)</f>
        <v>7956</v>
      </c>
      <c r="X2" s="9" t="s">
        <v>210</v>
      </c>
      <c r="Y2" s="9" t="s">
        <v>211</v>
      </c>
      <c r="Z2" s="26" t="s">
        <v>212</v>
      </c>
    </row>
    <row r="3" customFormat="false" ht="15" hidden="false" customHeight="false" outlineLevel="0" collapsed="false">
      <c r="A3" s="13" t="n">
        <v>50424</v>
      </c>
      <c r="B3" s="14" t="s">
        <v>39</v>
      </c>
      <c r="C3" s="14" t="s">
        <v>47</v>
      </c>
      <c r="D3" s="13" t="s">
        <v>48</v>
      </c>
      <c r="E3" s="14" t="s">
        <v>49</v>
      </c>
      <c r="F3" s="15" t="n">
        <v>20</v>
      </c>
      <c r="G3" s="16" t="n">
        <f aca="false">'Auction Inventory'!L3</f>
        <v>818.55</v>
      </c>
      <c r="H3" s="13" t="n">
        <v>9</v>
      </c>
      <c r="I3" s="16" t="n">
        <v>730</v>
      </c>
      <c r="J3" s="16" t="n">
        <v>1000</v>
      </c>
      <c r="K3" s="16" t="n">
        <v>1124.99</v>
      </c>
      <c r="L3" s="13" t="s">
        <v>213</v>
      </c>
      <c r="M3" s="13" t="n">
        <v>14</v>
      </c>
      <c r="N3" s="16" t="n">
        <v>700</v>
      </c>
      <c r="O3" s="16" t="n">
        <v>885</v>
      </c>
      <c r="P3" s="27" t="n">
        <f aca="false">IF(N3="","",N3-$G3)</f>
        <v>-118.55</v>
      </c>
      <c r="Q3" s="27" t="n">
        <f aca="false">IF(O3="","",O3-$G3)</f>
        <v>66.4500000000001</v>
      </c>
      <c r="R3" s="27" t="n">
        <f aca="false">IF(I3="","",I3*(1-Assumptions!$B$5)-$G3)</f>
        <v>-88.55</v>
      </c>
      <c r="S3" s="27" t="n">
        <f aca="false">IF(K3="","",K3*(1-Assumptions!$B$5)-$G3)</f>
        <v>306.44</v>
      </c>
      <c r="T3" s="27" t="n">
        <f aca="false">IF(P3="","",P3*$F3)</f>
        <v>-2371</v>
      </c>
      <c r="U3" s="27" t="n">
        <f aca="false">IF(Q3="","",Q3*$F3)</f>
        <v>1329</v>
      </c>
      <c r="V3" s="27" t="n">
        <f aca="false">IF(R3="","",R3*$F3)</f>
        <v>-1771</v>
      </c>
      <c r="W3" s="27" t="n">
        <f aca="false">IF(S3="","",S3*$F3)</f>
        <v>6128.8</v>
      </c>
      <c r="X3" s="14" t="s">
        <v>214</v>
      </c>
      <c r="Y3" s="14" t="s">
        <v>215</v>
      </c>
      <c r="Z3" s="28"/>
    </row>
    <row r="4" customFormat="false" ht="15" hidden="false" customHeight="false" outlineLevel="0" collapsed="false">
      <c r="A4" s="8" t="n">
        <v>50429</v>
      </c>
      <c r="B4" s="9" t="s">
        <v>52</v>
      </c>
      <c r="C4" s="9" t="s">
        <v>47</v>
      </c>
      <c r="D4" s="8" t="s">
        <v>53</v>
      </c>
      <c r="E4" s="9" t="s">
        <v>49</v>
      </c>
      <c r="F4" s="10" t="n">
        <v>20</v>
      </c>
      <c r="G4" s="11" t="n">
        <f aca="false">'Auction Inventory'!L4</f>
        <v>665.55</v>
      </c>
      <c r="H4" s="8" t="n">
        <v>1</v>
      </c>
      <c r="I4" s="11" t="n">
        <v>900</v>
      </c>
      <c r="J4" s="11" t="n">
        <v>900</v>
      </c>
      <c r="K4" s="11" t="n">
        <v>900</v>
      </c>
      <c r="L4" s="8"/>
      <c r="M4" s="8"/>
      <c r="N4" s="11"/>
      <c r="O4" s="11"/>
      <c r="P4" s="25" t="str">
        <f aca="false">IF(N4="","",N4-$G4)</f>
        <v/>
      </c>
      <c r="Q4" s="25" t="str">
        <f aca="false">IF(O4="","",O4-$G4)</f>
        <v/>
      </c>
      <c r="R4" s="25" t="n">
        <f aca="false">IF(I4="","",I4*(1-Assumptions!$B$5)-$G4)</f>
        <v>234.45</v>
      </c>
      <c r="S4" s="25" t="n">
        <f aca="false">IF(K4="","",K4*(1-Assumptions!$B$5)-$G4)</f>
        <v>234.45</v>
      </c>
      <c r="T4" s="25" t="str">
        <f aca="false">IF(P4="","",P4*$F4)</f>
        <v/>
      </c>
      <c r="U4" s="25" t="str">
        <f aca="false">IF(Q4="","",Q4*$F4)</f>
        <v/>
      </c>
      <c r="V4" s="25" t="n">
        <f aca="false">IF(R4="","",R4*$F4)</f>
        <v>4689</v>
      </c>
      <c r="W4" s="25" t="n">
        <f aca="false">IF(S4="","",S4*$F4)</f>
        <v>4689</v>
      </c>
      <c r="X4" s="9" t="s">
        <v>216</v>
      </c>
      <c r="Y4" s="9" t="s">
        <v>217</v>
      </c>
      <c r="Z4" s="26" t="s">
        <v>218</v>
      </c>
    </row>
    <row r="5" customFormat="false" ht="15" hidden="false" customHeight="false" outlineLevel="0" collapsed="false">
      <c r="A5" s="13" t="n">
        <v>50423</v>
      </c>
      <c r="B5" s="14" t="s">
        <v>55</v>
      </c>
      <c r="C5" s="14" t="s">
        <v>40</v>
      </c>
      <c r="D5" s="13" t="s">
        <v>48</v>
      </c>
      <c r="E5" s="14" t="s">
        <v>42</v>
      </c>
      <c r="F5" s="15" t="n">
        <v>20</v>
      </c>
      <c r="G5" s="16" t="n">
        <f aca="false">'Auction Inventory'!L5</f>
        <v>563.55</v>
      </c>
      <c r="H5" s="13"/>
      <c r="I5" s="16"/>
      <c r="J5" s="16"/>
      <c r="K5" s="16"/>
      <c r="L5" s="13"/>
      <c r="M5" s="13"/>
      <c r="N5" s="16"/>
      <c r="O5" s="16"/>
      <c r="P5" s="27" t="str">
        <f aca="false">IF(N5="","",N5-$G5)</f>
        <v/>
      </c>
      <c r="Q5" s="27" t="str">
        <f aca="false">IF(O5="","",O5-$G5)</f>
        <v/>
      </c>
      <c r="R5" s="27" t="str">
        <f aca="false">IF(I5="","",I5*(1-Assumptions!$B$5)-$G5)</f>
        <v/>
      </c>
      <c r="S5" s="27" t="str">
        <f aca="false">IF(K5="","",K5*(1-Assumptions!$B$5)-$G5)</f>
        <v/>
      </c>
      <c r="T5" s="27" t="str">
        <f aca="false">IF(P5="","",P5*$F5)</f>
        <v/>
      </c>
      <c r="U5" s="27" t="str">
        <f aca="false">IF(Q5="","",Q5*$F5)</f>
        <v/>
      </c>
      <c r="V5" s="27" t="str">
        <f aca="false">IF(R5="","",R5*$F5)</f>
        <v/>
      </c>
      <c r="W5" s="27" t="str">
        <f aca="false">IF(S5="","",S5*$F5)</f>
        <v/>
      </c>
      <c r="X5" s="14"/>
      <c r="Y5" s="14"/>
      <c r="Z5" s="28" t="s">
        <v>219</v>
      </c>
    </row>
    <row r="6" customFormat="false" ht="15" hidden="false" customHeight="false" outlineLevel="0" collapsed="false">
      <c r="A6" s="8" t="n">
        <v>50427</v>
      </c>
      <c r="B6" s="9" t="s">
        <v>55</v>
      </c>
      <c r="C6" s="9" t="s">
        <v>47</v>
      </c>
      <c r="D6" s="8" t="s">
        <v>48</v>
      </c>
      <c r="E6" s="9" t="s">
        <v>57</v>
      </c>
      <c r="F6" s="10" t="n">
        <v>20</v>
      </c>
      <c r="G6" s="11" t="n">
        <f aca="false">'Auction Inventory'!L6</f>
        <v>433.5</v>
      </c>
      <c r="H6" s="8" t="n">
        <v>10</v>
      </c>
      <c r="I6" s="11" t="n">
        <v>450</v>
      </c>
      <c r="J6" s="11" t="n">
        <v>576.5</v>
      </c>
      <c r="K6" s="11" t="n">
        <v>784.45</v>
      </c>
      <c r="L6" s="8"/>
      <c r="M6" s="8"/>
      <c r="N6" s="11"/>
      <c r="O6" s="11"/>
      <c r="P6" s="25" t="str">
        <f aca="false">IF(N6="","",N6-$G6)</f>
        <v/>
      </c>
      <c r="Q6" s="25" t="str">
        <f aca="false">IF(O6="","",O6-$G6)</f>
        <v/>
      </c>
      <c r="R6" s="25" t="n">
        <f aca="false">IF(I6="","",I6*(1-Assumptions!$B$5)-$G6)</f>
        <v>16.5</v>
      </c>
      <c r="S6" s="25" t="n">
        <f aca="false">IF(K6="","",K6*(1-Assumptions!$B$5)-$G6)</f>
        <v>350.95</v>
      </c>
      <c r="T6" s="25" t="str">
        <f aca="false">IF(P6="","",P6*$F6)</f>
        <v/>
      </c>
      <c r="U6" s="25" t="str">
        <f aca="false">IF(Q6="","",Q6*$F6)</f>
        <v/>
      </c>
      <c r="V6" s="25" t="n">
        <f aca="false">IF(R6="","",R6*$F6)</f>
        <v>330</v>
      </c>
      <c r="W6" s="25" t="n">
        <f aca="false">IF(S6="","",S6*$F6)</f>
        <v>7019</v>
      </c>
      <c r="X6" s="9" t="s">
        <v>220</v>
      </c>
      <c r="Y6" s="9" t="s">
        <v>221</v>
      </c>
      <c r="Z6" s="26" t="s">
        <v>222</v>
      </c>
    </row>
    <row r="7" customFormat="false" ht="15" hidden="false" customHeight="false" outlineLevel="0" collapsed="false">
      <c r="A7" s="13" t="n">
        <v>50422</v>
      </c>
      <c r="B7" s="14" t="s">
        <v>55</v>
      </c>
      <c r="C7" s="14" t="s">
        <v>47</v>
      </c>
      <c r="D7" s="13" t="s">
        <v>53</v>
      </c>
      <c r="E7" s="14" t="s">
        <v>57</v>
      </c>
      <c r="F7" s="15" t="n">
        <v>20</v>
      </c>
      <c r="G7" s="16" t="n">
        <f aca="false">'Auction Inventory'!L7</f>
        <v>408</v>
      </c>
      <c r="H7" s="13" t="n">
        <v>6</v>
      </c>
      <c r="I7" s="16" t="n">
        <v>450</v>
      </c>
      <c r="J7" s="16" t="n">
        <v>515</v>
      </c>
      <c r="K7" s="16" t="n">
        <v>700</v>
      </c>
      <c r="L7" s="13"/>
      <c r="M7" s="13"/>
      <c r="N7" s="16"/>
      <c r="O7" s="16"/>
      <c r="P7" s="27" t="str">
        <f aca="false">IF(N7="","",N7-$G7)</f>
        <v/>
      </c>
      <c r="Q7" s="27" t="str">
        <f aca="false">IF(O7="","",O7-$G7)</f>
        <v/>
      </c>
      <c r="R7" s="27" t="n">
        <f aca="false">IF(I7="","",I7*(1-Assumptions!$B$5)-$G7)</f>
        <v>42</v>
      </c>
      <c r="S7" s="27" t="n">
        <f aca="false">IF(K7="","",K7*(1-Assumptions!$B$5)-$G7)</f>
        <v>292</v>
      </c>
      <c r="T7" s="27" t="str">
        <f aca="false">IF(P7="","",P7*$F7)</f>
        <v/>
      </c>
      <c r="U7" s="27" t="str">
        <f aca="false">IF(Q7="","",Q7*$F7)</f>
        <v/>
      </c>
      <c r="V7" s="27" t="n">
        <f aca="false">IF(R7="","",R7*$F7)</f>
        <v>840</v>
      </c>
      <c r="W7" s="27" t="n">
        <f aca="false">IF(S7="","",S7*$F7)</f>
        <v>5840</v>
      </c>
      <c r="X7" s="14" t="s">
        <v>223</v>
      </c>
      <c r="Y7" s="14" t="s">
        <v>224</v>
      </c>
      <c r="Z7" s="28" t="s">
        <v>222</v>
      </c>
    </row>
    <row r="8" customFormat="false" ht="15" hidden="false" customHeight="false" outlineLevel="0" collapsed="false">
      <c r="A8" s="8" t="n">
        <v>50428</v>
      </c>
      <c r="B8" s="9" t="s">
        <v>55</v>
      </c>
      <c r="C8" s="9" t="s">
        <v>47</v>
      </c>
      <c r="D8" s="8" t="s">
        <v>60</v>
      </c>
      <c r="E8" s="9" t="s">
        <v>57</v>
      </c>
      <c r="F8" s="10" t="n">
        <v>20</v>
      </c>
      <c r="G8" s="11" t="n">
        <f aca="false">'Auction Inventory'!L8</f>
        <v>397.8</v>
      </c>
      <c r="H8" s="8" t="n">
        <v>6</v>
      </c>
      <c r="I8" s="11" t="n">
        <v>450</v>
      </c>
      <c r="J8" s="11" t="n">
        <v>515</v>
      </c>
      <c r="K8" s="11" t="n">
        <v>700</v>
      </c>
      <c r="L8" s="8"/>
      <c r="M8" s="8"/>
      <c r="N8" s="11"/>
      <c r="O8" s="11"/>
      <c r="P8" s="25" t="str">
        <f aca="false">IF(N8="","",N8-$G8)</f>
        <v/>
      </c>
      <c r="Q8" s="25" t="str">
        <f aca="false">IF(O8="","",O8-$G8)</f>
        <v/>
      </c>
      <c r="R8" s="25" t="n">
        <f aca="false">IF(I8="","",I8*(1-Assumptions!$B$5)-$G8)</f>
        <v>52.2</v>
      </c>
      <c r="S8" s="25" t="n">
        <f aca="false">IF(K8="","",K8*(1-Assumptions!$B$5)-$G8)</f>
        <v>302.2</v>
      </c>
      <c r="T8" s="25" t="str">
        <f aca="false">IF(P8="","",P8*$F8)</f>
        <v/>
      </c>
      <c r="U8" s="25" t="str">
        <f aca="false">IF(Q8="","",Q8*$F8)</f>
        <v/>
      </c>
      <c r="V8" s="25" t="n">
        <f aca="false">IF(R8="","",R8*$F8)</f>
        <v>1044</v>
      </c>
      <c r="W8" s="25" t="n">
        <f aca="false">IF(S8="","",S8*$F8)</f>
        <v>6044</v>
      </c>
      <c r="X8" s="9" t="s">
        <v>223</v>
      </c>
      <c r="Y8" s="9" t="s">
        <v>224</v>
      </c>
      <c r="Z8" s="26" t="s">
        <v>222</v>
      </c>
    </row>
    <row r="9" customFormat="false" ht="15" hidden="false" customHeight="false" outlineLevel="0" collapsed="false">
      <c r="A9" s="13" t="n">
        <v>50412</v>
      </c>
      <c r="B9" s="14" t="s">
        <v>62</v>
      </c>
      <c r="C9" s="14" t="s">
        <v>63</v>
      </c>
      <c r="D9" s="13" t="s">
        <v>60</v>
      </c>
      <c r="E9" s="14" t="s">
        <v>57</v>
      </c>
      <c r="F9" s="15" t="n">
        <v>20</v>
      </c>
      <c r="G9" s="16" t="n">
        <f aca="false">'Auction Inventory'!L9</f>
        <v>612</v>
      </c>
      <c r="H9" s="13" t="n">
        <v>3</v>
      </c>
      <c r="I9" s="16" t="n">
        <v>839.99</v>
      </c>
      <c r="J9" s="16" t="n">
        <v>850</v>
      </c>
      <c r="K9" s="16" t="n">
        <v>924.99</v>
      </c>
      <c r="L9" s="13"/>
      <c r="M9" s="13"/>
      <c r="N9" s="16"/>
      <c r="O9" s="16"/>
      <c r="P9" s="27" t="str">
        <f aca="false">IF(N9="","",N9-$G9)</f>
        <v/>
      </c>
      <c r="Q9" s="27" t="str">
        <f aca="false">IF(O9="","",O9-$G9)</f>
        <v/>
      </c>
      <c r="R9" s="27" t="n">
        <f aca="false">IF(I9="","",I9*(1-Assumptions!$B$5)-$G9)</f>
        <v>227.99</v>
      </c>
      <c r="S9" s="27" t="n">
        <f aca="false">IF(K9="","",K9*(1-Assumptions!$B$5)-$G9)</f>
        <v>312.99</v>
      </c>
      <c r="T9" s="27" t="str">
        <f aca="false">IF(P9="","",P9*$F9)</f>
        <v/>
      </c>
      <c r="U9" s="27" t="str">
        <f aca="false">IF(Q9="","",Q9*$F9)</f>
        <v/>
      </c>
      <c r="V9" s="27" t="n">
        <f aca="false">IF(R9="","",R9*$F9)</f>
        <v>4559.8</v>
      </c>
      <c r="W9" s="27" t="n">
        <f aca="false">IF(S9="","",S9*$F9)</f>
        <v>6259.8</v>
      </c>
      <c r="X9" s="14" t="s">
        <v>225</v>
      </c>
      <c r="Y9" s="14" t="s">
        <v>226</v>
      </c>
      <c r="Z9" s="28" t="s">
        <v>222</v>
      </c>
    </row>
    <row r="10" customFormat="false" ht="15" hidden="false" customHeight="false" outlineLevel="0" collapsed="false">
      <c r="A10" s="8" t="n">
        <v>50416</v>
      </c>
      <c r="B10" s="9" t="s">
        <v>62</v>
      </c>
      <c r="C10" s="9" t="s">
        <v>40</v>
      </c>
      <c r="D10" s="8" t="s">
        <v>48</v>
      </c>
      <c r="E10" s="9" t="s">
        <v>57</v>
      </c>
      <c r="F10" s="10" t="n">
        <v>20</v>
      </c>
      <c r="G10" s="11" t="n">
        <f aca="false">'Auction Inventory'!L10</f>
        <v>612</v>
      </c>
      <c r="H10" s="8" t="n">
        <v>2</v>
      </c>
      <c r="I10" s="11" t="n">
        <v>420</v>
      </c>
      <c r="J10" s="11" t="n">
        <v>635</v>
      </c>
      <c r="K10" s="11" t="n">
        <v>850</v>
      </c>
      <c r="L10" s="8"/>
      <c r="M10" s="8"/>
      <c r="N10" s="11"/>
      <c r="O10" s="11"/>
      <c r="P10" s="25" t="str">
        <f aca="false">IF(N10="","",N10-$G10)</f>
        <v/>
      </c>
      <c r="Q10" s="25" t="str">
        <f aca="false">IF(O10="","",O10-$G10)</f>
        <v/>
      </c>
      <c r="R10" s="25" t="n">
        <f aca="false">IF(I10="","",I10*(1-Assumptions!$B$5)-$G10)</f>
        <v>-192</v>
      </c>
      <c r="S10" s="25" t="n">
        <f aca="false">IF(K10="","",K10*(1-Assumptions!$B$5)-$G10)</f>
        <v>238</v>
      </c>
      <c r="T10" s="25" t="str">
        <f aca="false">IF(P10="","",P10*$F10)</f>
        <v/>
      </c>
      <c r="U10" s="25" t="str">
        <f aca="false">IF(Q10="","",Q10*$F10)</f>
        <v/>
      </c>
      <c r="V10" s="25" t="n">
        <f aca="false">IF(R10="","",R10*$F10)</f>
        <v>-3840</v>
      </c>
      <c r="W10" s="25" t="n">
        <f aca="false">IF(S10="","",S10*$F10)</f>
        <v>4760</v>
      </c>
      <c r="X10" s="9" t="s">
        <v>227</v>
      </c>
      <c r="Y10" s="9" t="s">
        <v>228</v>
      </c>
      <c r="Z10" s="26" t="s">
        <v>229</v>
      </c>
    </row>
    <row r="11" customFormat="false" ht="15" hidden="false" customHeight="false" outlineLevel="0" collapsed="false">
      <c r="A11" s="13" t="n">
        <v>50411</v>
      </c>
      <c r="B11" s="14" t="s">
        <v>62</v>
      </c>
      <c r="C11" s="14" t="s">
        <v>47</v>
      </c>
      <c r="D11" s="13" t="s">
        <v>48</v>
      </c>
      <c r="E11" s="14" t="s">
        <v>49</v>
      </c>
      <c r="F11" s="15" t="n">
        <v>20</v>
      </c>
      <c r="G11" s="16" t="n">
        <f aca="false">'Auction Inventory'!L11</f>
        <v>568.65</v>
      </c>
      <c r="H11" s="13" t="n">
        <v>5</v>
      </c>
      <c r="I11" s="16" t="n">
        <v>709.99</v>
      </c>
      <c r="J11" s="16" t="n">
        <v>720</v>
      </c>
      <c r="K11" s="16" t="n">
        <v>850</v>
      </c>
      <c r="L11" s="13"/>
      <c r="M11" s="13"/>
      <c r="N11" s="16"/>
      <c r="O11" s="16"/>
      <c r="P11" s="27" t="str">
        <f aca="false">IF(N11="","",N11-$G11)</f>
        <v/>
      </c>
      <c r="Q11" s="27" t="str">
        <f aca="false">IF(O11="","",O11-$G11)</f>
        <v/>
      </c>
      <c r="R11" s="27" t="n">
        <f aca="false">IF(I11="","",I11*(1-Assumptions!$B$5)-$G11)</f>
        <v>141.34</v>
      </c>
      <c r="S11" s="27" t="n">
        <f aca="false">IF(K11="","",K11*(1-Assumptions!$B$5)-$G11)</f>
        <v>281.35</v>
      </c>
      <c r="T11" s="27" t="str">
        <f aca="false">IF(P11="","",P11*$F11)</f>
        <v/>
      </c>
      <c r="U11" s="27" t="str">
        <f aca="false">IF(Q11="","",Q11*$F11)</f>
        <v/>
      </c>
      <c r="V11" s="27" t="n">
        <f aca="false">IF(R11="","",R11*$F11)</f>
        <v>2826.8</v>
      </c>
      <c r="W11" s="27" t="n">
        <f aca="false">IF(S11="","",S11*$F11)</f>
        <v>5627</v>
      </c>
      <c r="X11" s="14" t="s">
        <v>230</v>
      </c>
      <c r="Y11" s="14" t="s">
        <v>231</v>
      </c>
      <c r="Z11" s="28"/>
    </row>
    <row r="12" customFormat="false" ht="15" hidden="false" customHeight="false" outlineLevel="0" collapsed="false">
      <c r="A12" s="8" t="n">
        <v>50417</v>
      </c>
      <c r="B12" s="9" t="s">
        <v>62</v>
      </c>
      <c r="C12" s="9" t="s">
        <v>47</v>
      </c>
      <c r="D12" s="8" t="s">
        <v>53</v>
      </c>
      <c r="E12" s="9" t="s">
        <v>49</v>
      </c>
      <c r="F12" s="10" t="n">
        <v>20</v>
      </c>
      <c r="G12" s="11" t="n">
        <f aca="false">'Auction Inventory'!L12</f>
        <v>520.2</v>
      </c>
      <c r="H12" s="8" t="n">
        <v>7</v>
      </c>
      <c r="I12" s="11" t="n">
        <v>709.99</v>
      </c>
      <c r="J12" s="11" t="n">
        <v>775</v>
      </c>
      <c r="K12" s="11" t="n">
        <v>850</v>
      </c>
      <c r="L12" s="8"/>
      <c r="M12" s="8"/>
      <c r="N12" s="11"/>
      <c r="O12" s="11"/>
      <c r="P12" s="25" t="str">
        <f aca="false">IF(N12="","",N12-$G12)</f>
        <v/>
      </c>
      <c r="Q12" s="25" t="str">
        <f aca="false">IF(O12="","",O12-$G12)</f>
        <v/>
      </c>
      <c r="R12" s="25" t="n">
        <f aca="false">IF(I12="","",I12*(1-Assumptions!$B$5)-$G12)</f>
        <v>189.79</v>
      </c>
      <c r="S12" s="25" t="n">
        <f aca="false">IF(K12="","",K12*(1-Assumptions!$B$5)-$G12)</f>
        <v>329.8</v>
      </c>
      <c r="T12" s="25" t="str">
        <f aca="false">IF(P12="","",P12*$F12)</f>
        <v/>
      </c>
      <c r="U12" s="25" t="str">
        <f aca="false">IF(Q12="","",Q12*$F12)</f>
        <v/>
      </c>
      <c r="V12" s="25" t="n">
        <f aca="false">IF(R12="","",R12*$F12)</f>
        <v>3795.8</v>
      </c>
      <c r="W12" s="25" t="n">
        <f aca="false">IF(S12="","",S12*$F12)</f>
        <v>6596</v>
      </c>
      <c r="X12" s="9" t="s">
        <v>232</v>
      </c>
      <c r="Y12" s="9" t="s">
        <v>233</v>
      </c>
      <c r="Z12" s="26"/>
    </row>
    <row r="13" customFormat="false" ht="15" hidden="false" customHeight="false" outlineLevel="0" collapsed="false">
      <c r="A13" s="13" t="n">
        <v>50410</v>
      </c>
      <c r="B13" s="14" t="s">
        <v>68</v>
      </c>
      <c r="C13" s="14" t="s">
        <v>40</v>
      </c>
      <c r="D13" s="13" t="s">
        <v>53</v>
      </c>
      <c r="E13" s="14" t="s">
        <v>42</v>
      </c>
      <c r="F13" s="15" t="n">
        <v>20</v>
      </c>
      <c r="G13" s="16" t="n">
        <f aca="false">'Auction Inventory'!L13</f>
        <v>455.838</v>
      </c>
      <c r="H13" s="13" t="n">
        <v>1</v>
      </c>
      <c r="I13" s="16" t="n">
        <v>800</v>
      </c>
      <c r="J13" s="16" t="n">
        <v>800</v>
      </c>
      <c r="K13" s="16" t="n">
        <v>800</v>
      </c>
      <c r="L13" s="13"/>
      <c r="M13" s="13"/>
      <c r="N13" s="16"/>
      <c r="O13" s="16"/>
      <c r="P13" s="27" t="str">
        <f aca="false">IF(N13="","",N13-$G13)</f>
        <v/>
      </c>
      <c r="Q13" s="27" t="str">
        <f aca="false">IF(O13="","",O13-$G13)</f>
        <v/>
      </c>
      <c r="R13" s="27" t="n">
        <f aca="false">IF(I13="","",I13*(1-Assumptions!$B$5)-$G13)</f>
        <v>344.162</v>
      </c>
      <c r="S13" s="27" t="n">
        <f aca="false">IF(K13="","",K13*(1-Assumptions!$B$5)-$G13)</f>
        <v>344.162</v>
      </c>
      <c r="T13" s="27" t="str">
        <f aca="false">IF(P13="","",P13*$F13)</f>
        <v/>
      </c>
      <c r="U13" s="27" t="str">
        <f aca="false">IF(Q13="","",Q13*$F13)</f>
        <v/>
      </c>
      <c r="V13" s="27" t="n">
        <f aca="false">IF(R13="","",R13*$F13)</f>
        <v>6883.24</v>
      </c>
      <c r="W13" s="27" t="n">
        <f aca="false">IF(S13="","",S13*$F13)</f>
        <v>6883.24</v>
      </c>
      <c r="X13" s="14" t="s">
        <v>234</v>
      </c>
      <c r="Y13" s="14" t="s">
        <v>217</v>
      </c>
      <c r="Z13" s="28" t="s">
        <v>235</v>
      </c>
    </row>
    <row r="14" customFormat="false" ht="15" hidden="false" customHeight="false" outlineLevel="0" collapsed="false">
      <c r="A14" s="8" t="n">
        <v>50415</v>
      </c>
      <c r="B14" s="9" t="s">
        <v>71</v>
      </c>
      <c r="C14" s="9" t="s">
        <v>47</v>
      </c>
      <c r="D14" s="8" t="s">
        <v>53</v>
      </c>
      <c r="E14" s="9" t="s">
        <v>42</v>
      </c>
      <c r="F14" s="10" t="n">
        <v>20</v>
      </c>
      <c r="G14" s="11" t="n">
        <f aca="false">'Auction Inventory'!L14</f>
        <v>378.675</v>
      </c>
      <c r="H14" s="8" t="n">
        <v>3</v>
      </c>
      <c r="I14" s="11" t="n">
        <v>450</v>
      </c>
      <c r="J14" s="11" t="n">
        <v>559.99</v>
      </c>
      <c r="K14" s="11" t="n">
        <v>637.99</v>
      </c>
      <c r="L14" s="8"/>
      <c r="M14" s="8"/>
      <c r="N14" s="11"/>
      <c r="O14" s="11"/>
      <c r="P14" s="25" t="str">
        <f aca="false">IF(N14="","",N14-$G14)</f>
        <v/>
      </c>
      <c r="Q14" s="25" t="str">
        <f aca="false">IF(O14="","",O14-$G14)</f>
        <v/>
      </c>
      <c r="R14" s="25" t="n">
        <f aca="false">IF(I14="","",I14*(1-Assumptions!$B$5)-$G14)</f>
        <v>71.325</v>
      </c>
      <c r="S14" s="25" t="n">
        <f aca="false">IF(K14="","",K14*(1-Assumptions!$B$5)-$G14)</f>
        <v>259.315</v>
      </c>
      <c r="T14" s="25" t="str">
        <f aca="false">IF(P14="","",P14*$F14)</f>
        <v/>
      </c>
      <c r="U14" s="25" t="str">
        <f aca="false">IF(Q14="","",Q14*$F14)</f>
        <v/>
      </c>
      <c r="V14" s="25" t="n">
        <f aca="false">IF(R14="","",R14*$F14)</f>
        <v>1426.5</v>
      </c>
      <c r="W14" s="25" t="n">
        <f aca="false">IF(S14="","",S14*$F14)</f>
        <v>5186.3</v>
      </c>
      <c r="X14" s="9" t="s">
        <v>236</v>
      </c>
      <c r="Y14" s="9" t="s">
        <v>211</v>
      </c>
      <c r="Z14" s="26" t="s">
        <v>212</v>
      </c>
    </row>
    <row r="15" customFormat="false" ht="15" hidden="false" customHeight="false" outlineLevel="0" collapsed="false">
      <c r="A15" s="13" t="n">
        <v>50420</v>
      </c>
      <c r="B15" s="14" t="s">
        <v>71</v>
      </c>
      <c r="C15" s="14" t="s">
        <v>47</v>
      </c>
      <c r="D15" s="13" t="s">
        <v>53</v>
      </c>
      <c r="E15" s="14" t="s">
        <v>57</v>
      </c>
      <c r="F15" s="15" t="n">
        <v>20</v>
      </c>
      <c r="G15" s="16" t="n">
        <f aca="false">'Auction Inventory'!L15</f>
        <v>313.65</v>
      </c>
      <c r="H15" s="13" t="n">
        <v>3</v>
      </c>
      <c r="I15" s="16" t="n">
        <v>450</v>
      </c>
      <c r="J15" s="16" t="n">
        <v>559.99</v>
      </c>
      <c r="K15" s="16" t="n">
        <v>637.99</v>
      </c>
      <c r="L15" s="13"/>
      <c r="M15" s="13"/>
      <c r="N15" s="16"/>
      <c r="O15" s="16"/>
      <c r="P15" s="27" t="str">
        <f aca="false">IF(N15="","",N15-$G15)</f>
        <v/>
      </c>
      <c r="Q15" s="27" t="str">
        <f aca="false">IF(O15="","",O15-$G15)</f>
        <v/>
      </c>
      <c r="R15" s="27" t="n">
        <f aca="false">IF(I15="","",I15*(1-Assumptions!$B$5)-$G15)</f>
        <v>136.35</v>
      </c>
      <c r="S15" s="27" t="n">
        <f aca="false">IF(K15="","",K15*(1-Assumptions!$B$5)-$G15)</f>
        <v>324.34</v>
      </c>
      <c r="T15" s="27" t="str">
        <f aca="false">IF(P15="","",P15*$F15)</f>
        <v/>
      </c>
      <c r="U15" s="27" t="str">
        <f aca="false">IF(Q15="","",Q15*$F15)</f>
        <v/>
      </c>
      <c r="V15" s="27" t="n">
        <f aca="false">IF(R15="","",R15*$F15)</f>
        <v>2727</v>
      </c>
      <c r="W15" s="27" t="n">
        <f aca="false">IF(S15="","",S15*$F15)</f>
        <v>6486.8</v>
      </c>
      <c r="X15" s="14" t="s">
        <v>236</v>
      </c>
      <c r="Y15" s="14" t="s">
        <v>211</v>
      </c>
      <c r="Z15" s="28" t="s">
        <v>222</v>
      </c>
    </row>
    <row r="16" customFormat="false" ht="15" hidden="false" customHeight="false" outlineLevel="0" collapsed="false">
      <c r="A16" s="8" t="n">
        <v>50414</v>
      </c>
      <c r="B16" s="9" t="s">
        <v>71</v>
      </c>
      <c r="C16" s="9" t="s">
        <v>74</v>
      </c>
      <c r="D16" s="8" t="s">
        <v>48</v>
      </c>
      <c r="E16" s="9" t="s">
        <v>57</v>
      </c>
      <c r="F16" s="10" t="n">
        <v>20</v>
      </c>
      <c r="G16" s="11" t="n">
        <f aca="false">'Auction Inventory'!L16</f>
        <v>410.55</v>
      </c>
      <c r="H16" s="8" t="n">
        <v>3</v>
      </c>
      <c r="I16" s="11" t="n">
        <v>389.95</v>
      </c>
      <c r="J16" s="11" t="n">
        <v>400</v>
      </c>
      <c r="K16" s="11" t="n">
        <v>499.95</v>
      </c>
      <c r="L16" s="8"/>
      <c r="M16" s="8"/>
      <c r="N16" s="11"/>
      <c r="O16" s="11"/>
      <c r="P16" s="25" t="str">
        <f aca="false">IF(N16="","",N16-$G16)</f>
        <v/>
      </c>
      <c r="Q16" s="25" t="str">
        <f aca="false">IF(O16="","",O16-$G16)</f>
        <v/>
      </c>
      <c r="R16" s="25" t="n">
        <f aca="false">IF(I16="","",I16*(1-Assumptions!$B$5)-$G16)</f>
        <v>-20.6</v>
      </c>
      <c r="S16" s="25" t="n">
        <f aca="false">IF(K16="","",K16*(1-Assumptions!$B$5)-$G16)</f>
        <v>89.4</v>
      </c>
      <c r="T16" s="25" t="str">
        <f aca="false">IF(P16="","",P16*$F16)</f>
        <v/>
      </c>
      <c r="U16" s="25" t="str">
        <f aca="false">IF(Q16="","",Q16*$F16)</f>
        <v/>
      </c>
      <c r="V16" s="25" t="n">
        <f aca="false">IF(R16="","",R16*$F16)</f>
        <v>-412</v>
      </c>
      <c r="W16" s="25" t="n">
        <f aca="false">IF(S16="","",S16*$F16)</f>
        <v>1788</v>
      </c>
      <c r="X16" s="9" t="s">
        <v>237</v>
      </c>
      <c r="Y16" s="9" t="s">
        <v>238</v>
      </c>
      <c r="Z16" s="26" t="s">
        <v>222</v>
      </c>
    </row>
    <row r="17" customFormat="false" ht="15" hidden="false" customHeight="false" outlineLevel="0" collapsed="false">
      <c r="A17" s="13" t="n">
        <v>50409</v>
      </c>
      <c r="B17" s="14" t="s">
        <v>71</v>
      </c>
      <c r="C17" s="14" t="s">
        <v>74</v>
      </c>
      <c r="D17" s="13" t="s">
        <v>60</v>
      </c>
      <c r="E17" s="14" t="s">
        <v>49</v>
      </c>
      <c r="F17" s="15" t="n">
        <v>20</v>
      </c>
      <c r="G17" s="16" t="n">
        <f aca="false">'Auction Inventory'!L17</f>
        <v>281.775</v>
      </c>
      <c r="H17" s="13" t="n">
        <v>3</v>
      </c>
      <c r="I17" s="16" t="n">
        <v>389.95</v>
      </c>
      <c r="J17" s="16" t="n">
        <v>400</v>
      </c>
      <c r="K17" s="16" t="n">
        <v>499.95</v>
      </c>
      <c r="L17" s="13"/>
      <c r="M17" s="13"/>
      <c r="N17" s="16"/>
      <c r="O17" s="16"/>
      <c r="P17" s="27" t="str">
        <f aca="false">IF(N17="","",N17-$G17)</f>
        <v/>
      </c>
      <c r="Q17" s="27" t="str">
        <f aca="false">IF(O17="","",O17-$G17)</f>
        <v/>
      </c>
      <c r="R17" s="27" t="n">
        <f aca="false">IF(I17="","",I17*(1-Assumptions!$B$5)-$G17)</f>
        <v>108.175</v>
      </c>
      <c r="S17" s="27" t="n">
        <f aca="false">IF(K17="","",K17*(1-Assumptions!$B$5)-$G17)</f>
        <v>218.175</v>
      </c>
      <c r="T17" s="27" t="str">
        <f aca="false">IF(P17="","",P17*$F17)</f>
        <v/>
      </c>
      <c r="U17" s="27" t="str">
        <f aca="false">IF(Q17="","",Q17*$F17)</f>
        <v/>
      </c>
      <c r="V17" s="27" t="n">
        <f aca="false">IF(R17="","",R17*$F17)</f>
        <v>2163.5</v>
      </c>
      <c r="W17" s="27" t="n">
        <f aca="false">IF(S17="","",S17*$F17)</f>
        <v>4363.5</v>
      </c>
      <c r="X17" s="14" t="s">
        <v>237</v>
      </c>
      <c r="Y17" s="14" t="s">
        <v>238</v>
      </c>
      <c r="Z17" s="28"/>
    </row>
    <row r="18" customFormat="false" ht="15" hidden="false" customHeight="false" outlineLevel="0" collapsed="false">
      <c r="A18" s="8" t="n">
        <v>50419</v>
      </c>
      <c r="B18" s="9" t="s">
        <v>77</v>
      </c>
      <c r="C18" s="9" t="s">
        <v>47</v>
      </c>
      <c r="D18" s="8" t="s">
        <v>53</v>
      </c>
      <c r="E18" s="9" t="s">
        <v>42</v>
      </c>
      <c r="F18" s="10" t="n">
        <v>20</v>
      </c>
      <c r="G18" s="11" t="n">
        <f aca="false">'Auction Inventory'!L18</f>
        <v>291.975</v>
      </c>
      <c r="H18" s="8" t="n">
        <v>2</v>
      </c>
      <c r="I18" s="11" t="n">
        <v>519</v>
      </c>
      <c r="J18" s="11" t="n">
        <v>534.5</v>
      </c>
      <c r="K18" s="11" t="n">
        <v>549.99</v>
      </c>
      <c r="L18" s="8"/>
      <c r="M18" s="8"/>
      <c r="N18" s="11"/>
      <c r="O18" s="11"/>
      <c r="P18" s="25" t="str">
        <f aca="false">IF(N18="","",N18-$G18)</f>
        <v/>
      </c>
      <c r="Q18" s="25" t="str">
        <f aca="false">IF(O18="","",O18-$G18)</f>
        <v/>
      </c>
      <c r="R18" s="25" t="n">
        <f aca="false">IF(I18="","",I18*(1-Assumptions!$B$5)-$G18)</f>
        <v>227.025</v>
      </c>
      <c r="S18" s="25" t="n">
        <f aca="false">IF(K18="","",K18*(1-Assumptions!$B$5)-$G18)</f>
        <v>258.015</v>
      </c>
      <c r="T18" s="25" t="str">
        <f aca="false">IF(P18="","",P18*$F18)</f>
        <v/>
      </c>
      <c r="U18" s="25" t="str">
        <f aca="false">IF(Q18="","",Q18*$F18)</f>
        <v/>
      </c>
      <c r="V18" s="25" t="n">
        <f aca="false">IF(R18="","",R18*$F18)</f>
        <v>4540.5</v>
      </c>
      <c r="W18" s="25" t="n">
        <f aca="false">IF(S18="","",S18*$F18)</f>
        <v>5160.3</v>
      </c>
      <c r="X18" s="9" t="s">
        <v>227</v>
      </c>
      <c r="Y18" s="9" t="s">
        <v>239</v>
      </c>
      <c r="Z18" s="26" t="s">
        <v>240</v>
      </c>
    </row>
    <row r="19" customFormat="false" ht="15" hidden="false" customHeight="false" outlineLevel="0" collapsed="false">
      <c r="A19" s="13" t="n">
        <v>50348</v>
      </c>
      <c r="B19" s="14" t="s">
        <v>77</v>
      </c>
      <c r="C19" s="14" t="s">
        <v>74</v>
      </c>
      <c r="D19" s="13" t="s">
        <v>60</v>
      </c>
      <c r="E19" s="14" t="s">
        <v>42</v>
      </c>
      <c r="F19" s="15" t="n">
        <v>246</v>
      </c>
      <c r="G19" s="16" t="n">
        <f aca="false">'Auction Inventory'!L19</f>
        <v>265.2</v>
      </c>
      <c r="H19" s="13"/>
      <c r="I19" s="16"/>
      <c r="J19" s="16"/>
      <c r="K19" s="16"/>
      <c r="L19" s="13"/>
      <c r="M19" s="13"/>
      <c r="N19" s="16"/>
      <c r="O19" s="16"/>
      <c r="P19" s="27" t="str">
        <f aca="false">IF(N19="","",N19-$G19)</f>
        <v/>
      </c>
      <c r="Q19" s="27" t="str">
        <f aca="false">IF(O19="","",O19-$G19)</f>
        <v/>
      </c>
      <c r="R19" s="27" t="str">
        <f aca="false">IF(I19="","",I19*(1-Assumptions!$B$5)-$G19)</f>
        <v/>
      </c>
      <c r="S19" s="27" t="str">
        <f aca="false">IF(K19="","",K19*(1-Assumptions!$B$5)-$G19)</f>
        <v/>
      </c>
      <c r="T19" s="27" t="str">
        <f aca="false">IF(P19="","",P19*$F19)</f>
        <v/>
      </c>
      <c r="U19" s="27" t="str">
        <f aca="false">IF(Q19="","",Q19*$F19)</f>
        <v/>
      </c>
      <c r="V19" s="27" t="str">
        <f aca="false">IF(R19="","",R19*$F19)</f>
        <v/>
      </c>
      <c r="W19" s="27" t="str">
        <f aca="false">IF(S19="","",S19*$F19)</f>
        <v/>
      </c>
      <c r="X19" s="14"/>
      <c r="Y19" s="14"/>
      <c r="Z19" s="28" t="s">
        <v>219</v>
      </c>
    </row>
    <row r="20" customFormat="false" ht="15" hidden="false" customHeight="false" outlineLevel="0" collapsed="false">
      <c r="A20" s="8" t="n">
        <v>50426</v>
      </c>
      <c r="B20" s="9" t="s">
        <v>80</v>
      </c>
      <c r="C20" s="9" t="s">
        <v>47</v>
      </c>
      <c r="D20" s="8" t="s">
        <v>53</v>
      </c>
      <c r="E20" s="9" t="s">
        <v>42</v>
      </c>
      <c r="F20" s="10" t="n">
        <v>20</v>
      </c>
      <c r="G20" s="11" t="n">
        <f aca="false">'Auction Inventory'!L20</f>
        <v>269.127</v>
      </c>
      <c r="H20" s="8" t="n">
        <v>2</v>
      </c>
      <c r="I20" s="11" t="n">
        <v>299.98</v>
      </c>
      <c r="J20" s="11" t="n">
        <v>364.15</v>
      </c>
      <c r="K20" s="11" t="n">
        <v>428.33</v>
      </c>
      <c r="L20" s="8"/>
      <c r="M20" s="8"/>
      <c r="N20" s="11"/>
      <c r="O20" s="11"/>
      <c r="P20" s="25" t="str">
        <f aca="false">IF(N20="","",N20-$G20)</f>
        <v/>
      </c>
      <c r="Q20" s="25" t="str">
        <f aca="false">IF(O20="","",O20-$G20)</f>
        <v/>
      </c>
      <c r="R20" s="25" t="n">
        <f aca="false">IF(I20="","",I20*(1-Assumptions!$B$5)-$G20)</f>
        <v>30.853</v>
      </c>
      <c r="S20" s="25" t="n">
        <f aca="false">IF(K20="","",K20*(1-Assumptions!$B$5)-$G20)</f>
        <v>159.203</v>
      </c>
      <c r="T20" s="25" t="str">
        <f aca="false">IF(P20="","",P20*$F20)</f>
        <v/>
      </c>
      <c r="U20" s="25" t="str">
        <f aca="false">IF(Q20="","",Q20*$F20)</f>
        <v/>
      </c>
      <c r="V20" s="25" t="n">
        <f aca="false">IF(R20="","",R20*$F20)</f>
        <v>617.06</v>
      </c>
      <c r="W20" s="25" t="n">
        <f aca="false">IF(S20="","",S20*$F20)</f>
        <v>3184.06</v>
      </c>
      <c r="X20" s="9" t="s">
        <v>241</v>
      </c>
      <c r="Y20" s="9" t="s">
        <v>242</v>
      </c>
      <c r="Z20" s="26" t="s">
        <v>229</v>
      </c>
    </row>
    <row r="21" customFormat="false" ht="15" hidden="false" customHeight="false" outlineLevel="0" collapsed="false">
      <c r="A21" s="13" t="n">
        <v>50421</v>
      </c>
      <c r="B21" s="14" t="s">
        <v>80</v>
      </c>
      <c r="C21" s="14" t="s">
        <v>47</v>
      </c>
      <c r="D21" s="13" t="s">
        <v>60</v>
      </c>
      <c r="E21" s="14" t="s">
        <v>42</v>
      </c>
      <c r="F21" s="15" t="n">
        <v>20</v>
      </c>
      <c r="G21" s="16" t="n">
        <f aca="false">'Auction Inventory'!L21</f>
        <v>194.004</v>
      </c>
      <c r="H21" s="13" t="n">
        <v>1</v>
      </c>
      <c r="I21" s="16" t="n">
        <v>299.98</v>
      </c>
      <c r="J21" s="16" t="n">
        <v>299.98</v>
      </c>
      <c r="K21" s="16" t="n">
        <v>299.98</v>
      </c>
      <c r="L21" s="13"/>
      <c r="M21" s="13"/>
      <c r="N21" s="16"/>
      <c r="O21" s="16"/>
      <c r="P21" s="27" t="str">
        <f aca="false">IF(N21="","",N21-$G21)</f>
        <v/>
      </c>
      <c r="Q21" s="27" t="str">
        <f aca="false">IF(O21="","",O21-$G21)</f>
        <v/>
      </c>
      <c r="R21" s="27" t="n">
        <f aca="false">IF(I21="","",I21*(1-Assumptions!$B$5)-$G21)</f>
        <v>105.976</v>
      </c>
      <c r="S21" s="27" t="n">
        <f aca="false">IF(K21="","",K21*(1-Assumptions!$B$5)-$G21)</f>
        <v>105.976</v>
      </c>
      <c r="T21" s="27" t="str">
        <f aca="false">IF(P21="","",P21*$F21)</f>
        <v/>
      </c>
      <c r="U21" s="27" t="str">
        <f aca="false">IF(Q21="","",Q21*$F21)</f>
        <v/>
      </c>
      <c r="V21" s="27" t="n">
        <f aca="false">IF(R21="","",R21*$F21)</f>
        <v>2119.52</v>
      </c>
      <c r="W21" s="27" t="n">
        <f aca="false">IF(S21="","",S21*$F21)</f>
        <v>2119.52</v>
      </c>
      <c r="X21" s="14" t="s">
        <v>216</v>
      </c>
      <c r="Y21" s="14" t="s">
        <v>243</v>
      </c>
      <c r="Z21" s="28" t="s">
        <v>218</v>
      </c>
    </row>
    <row r="22" customFormat="false" ht="15" hidden="false" customHeight="false" outlineLevel="0" collapsed="false">
      <c r="A22" s="8" t="n">
        <v>50369</v>
      </c>
      <c r="B22" s="9" t="s">
        <v>80</v>
      </c>
      <c r="C22" s="9" t="s">
        <v>74</v>
      </c>
      <c r="D22" s="8" t="s">
        <v>41</v>
      </c>
      <c r="E22" s="9" t="s">
        <v>42</v>
      </c>
      <c r="F22" s="10" t="n">
        <v>20</v>
      </c>
      <c r="G22" s="11" t="n">
        <f aca="false">'Auction Inventory'!L22</f>
        <v>309.825</v>
      </c>
      <c r="H22" s="8" t="n">
        <v>1</v>
      </c>
      <c r="I22" s="11" t="n">
        <v>419.55</v>
      </c>
      <c r="J22" s="11" t="n">
        <v>419.55</v>
      </c>
      <c r="K22" s="11" t="n">
        <v>419.55</v>
      </c>
      <c r="L22" s="8"/>
      <c r="M22" s="8"/>
      <c r="N22" s="11"/>
      <c r="O22" s="11"/>
      <c r="P22" s="25" t="str">
        <f aca="false">IF(N22="","",N22-$G22)</f>
        <v/>
      </c>
      <c r="Q22" s="25" t="str">
        <f aca="false">IF(O22="","",O22-$G22)</f>
        <v/>
      </c>
      <c r="R22" s="25" t="n">
        <f aca="false">IF(I22="","",I22*(1-Assumptions!$B$5)-$G22)</f>
        <v>109.725</v>
      </c>
      <c r="S22" s="25" t="n">
        <f aca="false">IF(K22="","",K22*(1-Assumptions!$B$5)-$G22)</f>
        <v>109.725</v>
      </c>
      <c r="T22" s="25" t="str">
        <f aca="false">IF(P22="","",P22*$F22)</f>
        <v/>
      </c>
      <c r="U22" s="25" t="str">
        <f aca="false">IF(Q22="","",Q22*$F22)</f>
        <v/>
      </c>
      <c r="V22" s="25" t="n">
        <f aca="false">IF(R22="","",R22*$F22)</f>
        <v>2194.5</v>
      </c>
      <c r="W22" s="25" t="n">
        <f aca="false">IF(S22="","",S22*$F22)</f>
        <v>2194.5</v>
      </c>
      <c r="X22" s="9" t="s">
        <v>244</v>
      </c>
      <c r="Y22" s="9" t="s">
        <v>217</v>
      </c>
      <c r="Z22" s="26" t="s">
        <v>235</v>
      </c>
    </row>
    <row r="23" customFormat="false" ht="15" hidden="false" customHeight="false" outlineLevel="0" collapsed="false">
      <c r="A23" s="13" t="n">
        <v>50408</v>
      </c>
      <c r="B23" s="14" t="s">
        <v>84</v>
      </c>
      <c r="C23" s="14" t="s">
        <v>40</v>
      </c>
      <c r="D23" s="13" t="s">
        <v>53</v>
      </c>
      <c r="E23" s="14" t="s">
        <v>42</v>
      </c>
      <c r="F23" s="15" t="n">
        <v>20</v>
      </c>
      <c r="G23" s="16" t="n">
        <f aca="false">'Auction Inventory'!L23</f>
        <v>518.67</v>
      </c>
      <c r="H23" s="13" t="n">
        <v>5</v>
      </c>
      <c r="I23" s="16" t="n">
        <v>500</v>
      </c>
      <c r="J23" s="16" t="n">
        <v>550</v>
      </c>
      <c r="K23" s="16" t="n">
        <v>600</v>
      </c>
      <c r="L23" s="13"/>
      <c r="M23" s="13"/>
      <c r="N23" s="16"/>
      <c r="O23" s="16"/>
      <c r="P23" s="27" t="str">
        <f aca="false">IF(N23="","",N23-$G23)</f>
        <v/>
      </c>
      <c r="Q23" s="27" t="str">
        <f aca="false">IF(O23="","",O23-$G23)</f>
        <v/>
      </c>
      <c r="R23" s="27" t="n">
        <f aca="false">IF(I23="","",I23*(1-Assumptions!$B$5)-$G23)</f>
        <v>-18.67</v>
      </c>
      <c r="S23" s="27" t="n">
        <f aca="false">IF(K23="","",K23*(1-Assumptions!$B$5)-$G23)</f>
        <v>81.33</v>
      </c>
      <c r="T23" s="27" t="str">
        <f aca="false">IF(P23="","",P23*$F23)</f>
        <v/>
      </c>
      <c r="U23" s="27" t="str">
        <f aca="false">IF(Q23="","",Q23*$F23)</f>
        <v/>
      </c>
      <c r="V23" s="27" t="n">
        <f aca="false">IF(R23="","",R23*$F23)</f>
        <v>-373.399999999999</v>
      </c>
      <c r="W23" s="27" t="n">
        <f aca="false">IF(S23="","",S23*$F23)</f>
        <v>1626.6</v>
      </c>
      <c r="X23" s="14" t="s">
        <v>230</v>
      </c>
      <c r="Y23" s="14" t="s">
        <v>245</v>
      </c>
      <c r="Z23" s="28" t="s">
        <v>212</v>
      </c>
    </row>
    <row r="24" customFormat="false" ht="15" hidden="false" customHeight="false" outlineLevel="0" collapsed="false">
      <c r="A24" s="8" t="n">
        <v>50407</v>
      </c>
      <c r="B24" s="9" t="s">
        <v>84</v>
      </c>
      <c r="C24" s="9" t="s">
        <v>40</v>
      </c>
      <c r="D24" s="8" t="s">
        <v>60</v>
      </c>
      <c r="E24" s="9" t="s">
        <v>57</v>
      </c>
      <c r="F24" s="10" t="n">
        <v>20</v>
      </c>
      <c r="G24" s="11" t="n">
        <f aca="false">'Auction Inventory'!L24</f>
        <v>346.8</v>
      </c>
      <c r="H24" s="8" t="n">
        <v>5</v>
      </c>
      <c r="I24" s="11" t="n">
        <v>500</v>
      </c>
      <c r="J24" s="11" t="n">
        <v>550</v>
      </c>
      <c r="K24" s="11" t="n">
        <v>600</v>
      </c>
      <c r="L24" s="8"/>
      <c r="M24" s="8"/>
      <c r="N24" s="11"/>
      <c r="O24" s="11"/>
      <c r="P24" s="25" t="str">
        <f aca="false">IF(N24="","",N24-$G24)</f>
        <v/>
      </c>
      <c r="Q24" s="25" t="str">
        <f aca="false">IF(O24="","",O24-$G24)</f>
        <v/>
      </c>
      <c r="R24" s="25" t="n">
        <f aca="false">IF(I24="","",I24*(1-Assumptions!$B$5)-$G24)</f>
        <v>153.2</v>
      </c>
      <c r="S24" s="25" t="n">
        <f aca="false">IF(K24="","",K24*(1-Assumptions!$B$5)-$G24)</f>
        <v>253.2</v>
      </c>
      <c r="T24" s="25" t="str">
        <f aca="false">IF(P24="","",P24*$F24)</f>
        <v/>
      </c>
      <c r="U24" s="25" t="str">
        <f aca="false">IF(Q24="","",Q24*$F24)</f>
        <v/>
      </c>
      <c r="V24" s="25" t="n">
        <f aca="false">IF(R24="","",R24*$F24)</f>
        <v>3064</v>
      </c>
      <c r="W24" s="25" t="n">
        <f aca="false">IF(S24="","",S24*$F24)</f>
        <v>5064</v>
      </c>
      <c r="X24" s="9" t="s">
        <v>230</v>
      </c>
      <c r="Y24" s="9" t="s">
        <v>245</v>
      </c>
      <c r="Z24" s="26"/>
    </row>
    <row r="25" customFormat="false" ht="15" hidden="false" customHeight="false" outlineLevel="0" collapsed="false">
      <c r="A25" s="13" t="n">
        <v>50406</v>
      </c>
      <c r="B25" s="14" t="s">
        <v>84</v>
      </c>
      <c r="C25" s="14" t="s">
        <v>47</v>
      </c>
      <c r="D25" s="13" t="s">
        <v>48</v>
      </c>
      <c r="E25" s="14" t="s">
        <v>49</v>
      </c>
      <c r="F25" s="15" t="n">
        <v>20</v>
      </c>
      <c r="G25" s="16" t="n">
        <f aca="false">'Auction Inventory'!L25</f>
        <v>367.2</v>
      </c>
      <c r="H25" s="13" t="n">
        <v>9</v>
      </c>
      <c r="I25" s="16" t="n">
        <v>495</v>
      </c>
      <c r="J25" s="16" t="n">
        <v>549</v>
      </c>
      <c r="K25" s="16" t="n">
        <v>580</v>
      </c>
      <c r="L25" s="13"/>
      <c r="M25" s="13"/>
      <c r="N25" s="16"/>
      <c r="O25" s="16"/>
      <c r="P25" s="27" t="str">
        <f aca="false">IF(N25="","",N25-$G25)</f>
        <v/>
      </c>
      <c r="Q25" s="27" t="str">
        <f aca="false">IF(O25="","",O25-$G25)</f>
        <v/>
      </c>
      <c r="R25" s="27" t="n">
        <f aca="false">IF(I25="","",I25*(1-Assumptions!$B$5)-$G25)</f>
        <v>127.8</v>
      </c>
      <c r="S25" s="27" t="n">
        <f aca="false">IF(K25="","",K25*(1-Assumptions!$B$5)-$G25)</f>
        <v>212.8</v>
      </c>
      <c r="T25" s="27" t="str">
        <f aca="false">IF(P25="","",P25*$F25)</f>
        <v/>
      </c>
      <c r="U25" s="27" t="str">
        <f aca="false">IF(Q25="","",Q25*$F25)</f>
        <v/>
      </c>
      <c r="V25" s="27" t="n">
        <f aca="false">IF(R25="","",R25*$F25)</f>
        <v>2556</v>
      </c>
      <c r="W25" s="27" t="n">
        <f aca="false">IF(S25="","",S25*$F25)</f>
        <v>4256</v>
      </c>
      <c r="X25" s="14" t="s">
        <v>246</v>
      </c>
      <c r="Y25" s="14" t="s">
        <v>247</v>
      </c>
      <c r="Z25" s="28"/>
    </row>
    <row r="26" customFormat="false" ht="15" hidden="false" customHeight="false" outlineLevel="0" collapsed="false">
      <c r="A26" s="8" t="n">
        <v>50400</v>
      </c>
      <c r="B26" s="9" t="s">
        <v>84</v>
      </c>
      <c r="C26" s="9" t="s">
        <v>47</v>
      </c>
      <c r="D26" s="8" t="s">
        <v>53</v>
      </c>
      <c r="E26" s="9" t="s">
        <v>49</v>
      </c>
      <c r="F26" s="10" t="n">
        <v>20</v>
      </c>
      <c r="G26" s="11" t="n">
        <f aca="false">'Auction Inventory'!L26</f>
        <v>436.05</v>
      </c>
      <c r="H26" s="8" t="n">
        <v>11</v>
      </c>
      <c r="I26" s="11" t="n">
        <v>495</v>
      </c>
      <c r="J26" s="11" t="n">
        <v>549.99</v>
      </c>
      <c r="K26" s="11" t="n">
        <v>671.51</v>
      </c>
      <c r="L26" s="8"/>
      <c r="M26" s="8"/>
      <c r="N26" s="11"/>
      <c r="O26" s="11"/>
      <c r="P26" s="25" t="str">
        <f aca="false">IF(N26="","",N26-$G26)</f>
        <v/>
      </c>
      <c r="Q26" s="25" t="str">
        <f aca="false">IF(O26="","",O26-$G26)</f>
        <v/>
      </c>
      <c r="R26" s="25" t="n">
        <f aca="false">IF(I26="","",I26*(1-Assumptions!$B$5)-$G26)</f>
        <v>58.95</v>
      </c>
      <c r="S26" s="25" t="n">
        <f aca="false">IF(K26="","",K26*(1-Assumptions!$B$5)-$G26)</f>
        <v>235.46</v>
      </c>
      <c r="T26" s="25" t="str">
        <f aca="false">IF(P26="","",P26*$F26)</f>
        <v/>
      </c>
      <c r="U26" s="25" t="str">
        <f aca="false">IF(Q26="","",Q26*$F26)</f>
        <v/>
      </c>
      <c r="V26" s="25" t="n">
        <f aca="false">IF(R26="","",R26*$F26)</f>
        <v>1179</v>
      </c>
      <c r="W26" s="25" t="n">
        <f aca="false">IF(S26="","",S26*$F26)</f>
        <v>4709.2</v>
      </c>
      <c r="X26" s="9" t="s">
        <v>248</v>
      </c>
      <c r="Y26" s="9" t="s">
        <v>249</v>
      </c>
      <c r="Z26" s="26"/>
    </row>
    <row r="27" customFormat="false" ht="15" hidden="false" customHeight="false" outlineLevel="0" collapsed="false">
      <c r="A27" s="13" t="n">
        <v>50343</v>
      </c>
      <c r="B27" s="14" t="s">
        <v>84</v>
      </c>
      <c r="C27" s="14" t="s">
        <v>47</v>
      </c>
      <c r="D27" s="13" t="s">
        <v>60</v>
      </c>
      <c r="E27" s="14" t="s">
        <v>42</v>
      </c>
      <c r="F27" s="15" t="n">
        <v>250</v>
      </c>
      <c r="G27" s="16" t="n">
        <f aca="false">'Auction Inventory'!L27</f>
        <v>346.8</v>
      </c>
      <c r="H27" s="13" t="n">
        <v>10</v>
      </c>
      <c r="I27" s="16" t="n">
        <v>495</v>
      </c>
      <c r="J27" s="16" t="n">
        <v>549.5</v>
      </c>
      <c r="K27" s="16" t="n">
        <v>599.99</v>
      </c>
      <c r="L27" s="13"/>
      <c r="M27" s="13"/>
      <c r="N27" s="16"/>
      <c r="O27" s="16"/>
      <c r="P27" s="27" t="str">
        <f aca="false">IF(N27="","",N27-$G27)</f>
        <v/>
      </c>
      <c r="Q27" s="27" t="str">
        <f aca="false">IF(O27="","",O27-$G27)</f>
        <v/>
      </c>
      <c r="R27" s="27" t="n">
        <f aca="false">IF(I27="","",I27*(1-Assumptions!$B$5)-$G27)</f>
        <v>148.2</v>
      </c>
      <c r="S27" s="27" t="n">
        <f aca="false">IF(K27="","",K27*(1-Assumptions!$B$5)-$G27)</f>
        <v>253.19</v>
      </c>
      <c r="T27" s="27" t="str">
        <f aca="false">IF(P27="","",P27*$F27)</f>
        <v/>
      </c>
      <c r="U27" s="27" t="str">
        <f aca="false">IF(Q27="","",Q27*$F27)</f>
        <v/>
      </c>
      <c r="V27" s="27" t="n">
        <f aca="false">IF(R27="","",R27*$F27)</f>
        <v>37050</v>
      </c>
      <c r="W27" s="27" t="n">
        <f aca="false">IF(S27="","",S27*$F27)</f>
        <v>63297.5</v>
      </c>
      <c r="X27" s="14" t="s">
        <v>250</v>
      </c>
      <c r="Y27" s="14" t="s">
        <v>251</v>
      </c>
      <c r="Z27" s="28" t="s">
        <v>212</v>
      </c>
    </row>
    <row r="28" customFormat="false" ht="15" hidden="false" customHeight="false" outlineLevel="0" collapsed="false">
      <c r="A28" s="8" t="n">
        <v>50347</v>
      </c>
      <c r="B28" s="9" t="s">
        <v>84</v>
      </c>
      <c r="C28" s="9" t="s">
        <v>47</v>
      </c>
      <c r="D28" s="8" t="s">
        <v>60</v>
      </c>
      <c r="E28" s="9" t="s">
        <v>42</v>
      </c>
      <c r="F28" s="10" t="n">
        <v>180</v>
      </c>
      <c r="G28" s="11" t="n">
        <f aca="false">'Auction Inventory'!L28</f>
        <v>346.8</v>
      </c>
      <c r="H28" s="8" t="n">
        <v>10</v>
      </c>
      <c r="I28" s="11" t="n">
        <v>495</v>
      </c>
      <c r="J28" s="11" t="n">
        <v>549.5</v>
      </c>
      <c r="K28" s="11" t="n">
        <v>599.99</v>
      </c>
      <c r="L28" s="8"/>
      <c r="M28" s="8"/>
      <c r="N28" s="11"/>
      <c r="O28" s="11"/>
      <c r="P28" s="25" t="str">
        <f aca="false">IF(N28="","",N28-$G28)</f>
        <v/>
      </c>
      <c r="Q28" s="25" t="str">
        <f aca="false">IF(O28="","",O28-$G28)</f>
        <v/>
      </c>
      <c r="R28" s="25" t="n">
        <f aca="false">IF(I28="","",I28*(1-Assumptions!$B$5)-$G28)</f>
        <v>148.2</v>
      </c>
      <c r="S28" s="25" t="n">
        <f aca="false">IF(K28="","",K28*(1-Assumptions!$B$5)-$G28)</f>
        <v>253.19</v>
      </c>
      <c r="T28" s="25" t="str">
        <f aca="false">IF(P28="","",P28*$F28)</f>
        <v/>
      </c>
      <c r="U28" s="25" t="str">
        <f aca="false">IF(Q28="","",Q28*$F28)</f>
        <v/>
      </c>
      <c r="V28" s="25" t="n">
        <f aca="false">IF(R28="","",R28*$F28)</f>
        <v>26676</v>
      </c>
      <c r="W28" s="25" t="n">
        <f aca="false">IF(S28="","",S28*$F28)</f>
        <v>45574.2</v>
      </c>
      <c r="X28" s="9" t="s">
        <v>250</v>
      </c>
      <c r="Y28" s="9" t="s">
        <v>251</v>
      </c>
      <c r="Z28" s="26" t="s">
        <v>212</v>
      </c>
    </row>
    <row r="29" customFormat="false" ht="15" hidden="false" customHeight="false" outlineLevel="0" collapsed="false">
      <c r="A29" s="13" t="n">
        <v>50413</v>
      </c>
      <c r="B29" s="14" t="s">
        <v>91</v>
      </c>
      <c r="C29" s="14" t="s">
        <v>63</v>
      </c>
      <c r="D29" s="13" t="s">
        <v>60</v>
      </c>
      <c r="E29" s="14" t="s">
        <v>42</v>
      </c>
      <c r="F29" s="15" t="n">
        <v>20</v>
      </c>
      <c r="G29" s="16" t="n">
        <f aca="false">'Auction Inventory'!L29</f>
        <v>255</v>
      </c>
      <c r="H29" s="13"/>
      <c r="I29" s="16"/>
      <c r="J29" s="16"/>
      <c r="K29" s="16"/>
      <c r="L29" s="13"/>
      <c r="M29" s="13"/>
      <c r="N29" s="16"/>
      <c r="O29" s="16"/>
      <c r="P29" s="27" t="str">
        <f aca="false">IF(N29="","",N29-$G29)</f>
        <v/>
      </c>
      <c r="Q29" s="27" t="str">
        <f aca="false">IF(O29="","",O29-$G29)</f>
        <v/>
      </c>
      <c r="R29" s="27" t="str">
        <f aca="false">IF(I29="","",I29*(1-Assumptions!$B$5)-$G29)</f>
        <v/>
      </c>
      <c r="S29" s="27" t="str">
        <f aca="false">IF(K29="","",K29*(1-Assumptions!$B$5)-$G29)</f>
        <v/>
      </c>
      <c r="T29" s="27" t="str">
        <f aca="false">IF(P29="","",P29*$F29)</f>
        <v/>
      </c>
      <c r="U29" s="27" t="str">
        <f aca="false">IF(Q29="","",Q29*$F29)</f>
        <v/>
      </c>
      <c r="V29" s="27" t="str">
        <f aca="false">IF(R29="","",R29*$F29)</f>
        <v/>
      </c>
      <c r="W29" s="27" t="str">
        <f aca="false">IF(S29="","",S29*$F29)</f>
        <v/>
      </c>
      <c r="X29" s="14"/>
      <c r="Y29" s="14"/>
      <c r="Z29" s="28" t="s">
        <v>219</v>
      </c>
    </row>
    <row r="30" customFormat="false" ht="15" hidden="false" customHeight="false" outlineLevel="0" collapsed="false">
      <c r="A30" s="8" t="n">
        <v>50399</v>
      </c>
      <c r="B30" s="9" t="s">
        <v>91</v>
      </c>
      <c r="C30" s="9" t="s">
        <v>47</v>
      </c>
      <c r="D30" s="8" t="s">
        <v>48</v>
      </c>
      <c r="E30" s="9" t="s">
        <v>57</v>
      </c>
      <c r="F30" s="10" t="n">
        <v>20</v>
      </c>
      <c r="G30" s="11" t="n">
        <f aca="false">'Auction Inventory'!L30</f>
        <v>307.275</v>
      </c>
      <c r="H30" s="8" t="n">
        <v>3</v>
      </c>
      <c r="I30" s="11" t="n">
        <v>450</v>
      </c>
      <c r="J30" s="11" t="n">
        <v>504.99</v>
      </c>
      <c r="K30" s="11" t="n">
        <v>549</v>
      </c>
      <c r="L30" s="8"/>
      <c r="M30" s="8"/>
      <c r="N30" s="11"/>
      <c r="O30" s="11"/>
      <c r="P30" s="25" t="str">
        <f aca="false">IF(N30="","",N30-$G30)</f>
        <v/>
      </c>
      <c r="Q30" s="25" t="str">
        <f aca="false">IF(O30="","",O30-$G30)</f>
        <v/>
      </c>
      <c r="R30" s="25" t="n">
        <f aca="false">IF(I30="","",I30*(1-Assumptions!$B$5)-$G30)</f>
        <v>142.725</v>
      </c>
      <c r="S30" s="25" t="n">
        <f aca="false">IF(K30="","",K30*(1-Assumptions!$B$5)-$G30)</f>
        <v>241.725</v>
      </c>
      <c r="T30" s="25" t="str">
        <f aca="false">IF(P30="","",P30*$F30)</f>
        <v/>
      </c>
      <c r="U30" s="25" t="str">
        <f aca="false">IF(Q30="","",Q30*$F30)</f>
        <v/>
      </c>
      <c r="V30" s="25" t="n">
        <f aca="false">IF(R30="","",R30*$F30)</f>
        <v>2854.5</v>
      </c>
      <c r="W30" s="25" t="n">
        <f aca="false">IF(S30="","",S30*$F30)</f>
        <v>4834.5</v>
      </c>
      <c r="X30" s="9" t="s">
        <v>237</v>
      </c>
      <c r="Y30" s="9" t="s">
        <v>252</v>
      </c>
      <c r="Z30" s="26" t="s">
        <v>222</v>
      </c>
    </row>
    <row r="31" customFormat="false" ht="15" hidden="false" customHeight="false" outlineLevel="0" collapsed="false">
      <c r="A31" s="13" t="n">
        <v>50405</v>
      </c>
      <c r="B31" s="14" t="s">
        <v>91</v>
      </c>
      <c r="C31" s="14" t="s">
        <v>74</v>
      </c>
      <c r="D31" s="13" t="s">
        <v>48</v>
      </c>
      <c r="E31" s="14" t="s">
        <v>57</v>
      </c>
      <c r="F31" s="15" t="n">
        <v>20</v>
      </c>
      <c r="G31" s="16" t="n">
        <f aca="false">'Auction Inventory'!L31</f>
        <v>306</v>
      </c>
      <c r="H31" s="13" t="n">
        <v>4</v>
      </c>
      <c r="I31" s="16" t="n">
        <v>349.99</v>
      </c>
      <c r="J31" s="16" t="n">
        <v>462.5</v>
      </c>
      <c r="K31" s="16" t="n">
        <v>544.99</v>
      </c>
      <c r="L31" s="13"/>
      <c r="M31" s="13"/>
      <c r="N31" s="16"/>
      <c r="O31" s="16"/>
      <c r="P31" s="27" t="str">
        <f aca="false">IF(N31="","",N31-$G31)</f>
        <v/>
      </c>
      <c r="Q31" s="27" t="str">
        <f aca="false">IF(O31="","",O31-$G31)</f>
        <v/>
      </c>
      <c r="R31" s="27" t="n">
        <f aca="false">IF(I31="","",I31*(1-Assumptions!$B$5)-$G31)</f>
        <v>43.99</v>
      </c>
      <c r="S31" s="27" t="n">
        <f aca="false">IF(K31="","",K31*(1-Assumptions!$B$5)-$G31)</f>
        <v>238.99</v>
      </c>
      <c r="T31" s="27" t="str">
        <f aca="false">IF(P31="","",P31*$F31)</f>
        <v/>
      </c>
      <c r="U31" s="27" t="str">
        <f aca="false">IF(Q31="","",Q31*$F31)</f>
        <v/>
      </c>
      <c r="V31" s="27" t="n">
        <f aca="false">IF(R31="","",R31*$F31)</f>
        <v>879.8</v>
      </c>
      <c r="W31" s="27" t="n">
        <f aca="false">IF(S31="","",S31*$F31)</f>
        <v>4779.8</v>
      </c>
      <c r="X31" s="14" t="s">
        <v>253</v>
      </c>
      <c r="Y31" s="14" t="s">
        <v>254</v>
      </c>
      <c r="Z31" s="28" t="s">
        <v>222</v>
      </c>
    </row>
    <row r="32" customFormat="false" ht="15" hidden="false" customHeight="false" outlineLevel="0" collapsed="false">
      <c r="A32" s="8" t="n">
        <v>50345</v>
      </c>
      <c r="B32" s="9" t="s">
        <v>91</v>
      </c>
      <c r="C32" s="9" t="s">
        <v>74</v>
      </c>
      <c r="D32" s="8" t="s">
        <v>60</v>
      </c>
      <c r="E32" s="9" t="s">
        <v>42</v>
      </c>
      <c r="F32" s="10" t="n">
        <v>240</v>
      </c>
      <c r="G32" s="11" t="n">
        <f aca="false">'Auction Inventory'!L32</f>
        <v>255</v>
      </c>
      <c r="H32" s="8" t="n">
        <v>4</v>
      </c>
      <c r="I32" s="11" t="n">
        <v>349.99</v>
      </c>
      <c r="J32" s="11" t="n">
        <v>462.5</v>
      </c>
      <c r="K32" s="11" t="n">
        <v>544.99</v>
      </c>
      <c r="L32" s="8"/>
      <c r="M32" s="8"/>
      <c r="N32" s="11"/>
      <c r="O32" s="11"/>
      <c r="P32" s="25" t="str">
        <f aca="false">IF(N32="","",N32-$G32)</f>
        <v/>
      </c>
      <c r="Q32" s="25" t="str">
        <f aca="false">IF(O32="","",O32-$G32)</f>
        <v/>
      </c>
      <c r="R32" s="25" t="n">
        <f aca="false">IF(I32="","",I32*(1-Assumptions!$B$5)-$G32)</f>
        <v>94.99</v>
      </c>
      <c r="S32" s="25" t="n">
        <f aca="false">IF(K32="","",K32*(1-Assumptions!$B$5)-$G32)</f>
        <v>289.99</v>
      </c>
      <c r="T32" s="25" t="str">
        <f aca="false">IF(P32="","",P32*$F32)</f>
        <v/>
      </c>
      <c r="U32" s="25" t="str">
        <f aca="false">IF(Q32="","",Q32*$F32)</f>
        <v/>
      </c>
      <c r="V32" s="25" t="n">
        <f aca="false">IF(R32="","",R32*$F32)</f>
        <v>22797.6</v>
      </c>
      <c r="W32" s="25" t="n">
        <f aca="false">IF(S32="","",S32*$F32)</f>
        <v>69597.6</v>
      </c>
      <c r="X32" s="9" t="s">
        <v>253</v>
      </c>
      <c r="Y32" s="9" t="s">
        <v>254</v>
      </c>
      <c r="Z32" s="26" t="s">
        <v>212</v>
      </c>
    </row>
    <row r="33" customFormat="false" ht="15" hidden="false" customHeight="false" outlineLevel="0" collapsed="false">
      <c r="A33" s="13" t="n">
        <v>50354</v>
      </c>
      <c r="B33" s="14" t="s">
        <v>91</v>
      </c>
      <c r="C33" s="14" t="s">
        <v>74</v>
      </c>
      <c r="D33" s="13" t="s">
        <v>60</v>
      </c>
      <c r="E33" s="14" t="s">
        <v>42</v>
      </c>
      <c r="F33" s="15" t="n">
        <v>118</v>
      </c>
      <c r="G33" s="16" t="n">
        <f aca="false">'Auction Inventory'!L33</f>
        <v>255</v>
      </c>
      <c r="H33" s="13" t="n">
        <v>4</v>
      </c>
      <c r="I33" s="16" t="n">
        <v>349.99</v>
      </c>
      <c r="J33" s="16" t="n">
        <v>462.5</v>
      </c>
      <c r="K33" s="16" t="n">
        <v>544.99</v>
      </c>
      <c r="L33" s="13"/>
      <c r="M33" s="13"/>
      <c r="N33" s="16"/>
      <c r="O33" s="16"/>
      <c r="P33" s="27" t="str">
        <f aca="false">IF(N33="","",N33-$G33)</f>
        <v/>
      </c>
      <c r="Q33" s="27" t="str">
        <f aca="false">IF(O33="","",O33-$G33)</f>
        <v/>
      </c>
      <c r="R33" s="27" t="n">
        <f aca="false">IF(I33="","",I33*(1-Assumptions!$B$5)-$G33)</f>
        <v>94.99</v>
      </c>
      <c r="S33" s="27" t="n">
        <f aca="false">IF(K33="","",K33*(1-Assumptions!$B$5)-$G33)</f>
        <v>289.99</v>
      </c>
      <c r="T33" s="27" t="str">
        <f aca="false">IF(P33="","",P33*$F33)</f>
        <v/>
      </c>
      <c r="U33" s="27" t="str">
        <f aca="false">IF(Q33="","",Q33*$F33)</f>
        <v/>
      </c>
      <c r="V33" s="27" t="n">
        <f aca="false">IF(R33="","",R33*$F33)</f>
        <v>11208.82</v>
      </c>
      <c r="W33" s="27" t="n">
        <f aca="false">IF(S33="","",S33*$F33)</f>
        <v>34218.82</v>
      </c>
      <c r="X33" s="14" t="s">
        <v>253</v>
      </c>
      <c r="Y33" s="14" t="s">
        <v>254</v>
      </c>
      <c r="Z33" s="28" t="s">
        <v>212</v>
      </c>
    </row>
    <row r="34" customFormat="false" ht="15" hidden="false" customHeight="false" outlineLevel="0" collapsed="false">
      <c r="A34" s="8" t="n">
        <v>50404</v>
      </c>
      <c r="B34" s="9" t="s">
        <v>97</v>
      </c>
      <c r="C34" s="9" t="s">
        <v>47</v>
      </c>
      <c r="D34" s="8" t="s">
        <v>53</v>
      </c>
      <c r="E34" s="9" t="s">
        <v>57</v>
      </c>
      <c r="F34" s="10" t="n">
        <v>20</v>
      </c>
      <c r="G34" s="11" t="n">
        <f aca="false">'Auction Inventory'!L34</f>
        <v>219.3</v>
      </c>
      <c r="H34" s="8" t="n">
        <v>1</v>
      </c>
      <c r="I34" s="11" t="n">
        <v>471.45</v>
      </c>
      <c r="J34" s="11" t="n">
        <v>471.45</v>
      </c>
      <c r="K34" s="11" t="n">
        <v>471.45</v>
      </c>
      <c r="L34" s="8"/>
      <c r="M34" s="8"/>
      <c r="N34" s="11"/>
      <c r="O34" s="11"/>
      <c r="P34" s="25" t="str">
        <f aca="false">IF(N34="","",N34-$G34)</f>
        <v/>
      </c>
      <c r="Q34" s="25" t="str">
        <f aca="false">IF(O34="","",O34-$G34)</f>
        <v/>
      </c>
      <c r="R34" s="25" t="n">
        <f aca="false">IF(I34="","",I34*(1-Assumptions!$B$5)-$G34)</f>
        <v>252.15</v>
      </c>
      <c r="S34" s="25" t="n">
        <f aca="false">IF(K34="","",K34*(1-Assumptions!$B$5)-$G34)</f>
        <v>252.15</v>
      </c>
      <c r="T34" s="25" t="str">
        <f aca="false">IF(P34="","",P34*$F34)</f>
        <v/>
      </c>
      <c r="U34" s="25" t="str">
        <f aca="false">IF(Q34="","",Q34*$F34)</f>
        <v/>
      </c>
      <c r="V34" s="25" t="n">
        <f aca="false">IF(R34="","",R34*$F34)</f>
        <v>5043</v>
      </c>
      <c r="W34" s="25" t="n">
        <f aca="false">IF(S34="","",S34*$F34)</f>
        <v>5043</v>
      </c>
      <c r="X34" s="9" t="s">
        <v>234</v>
      </c>
      <c r="Y34" s="9" t="s">
        <v>217</v>
      </c>
      <c r="Z34" s="26" t="s">
        <v>255</v>
      </c>
    </row>
    <row r="35" customFormat="false" ht="15" hidden="false" customHeight="false" outlineLevel="0" collapsed="false">
      <c r="A35" s="13" t="n">
        <v>50397</v>
      </c>
      <c r="B35" s="14" t="s">
        <v>97</v>
      </c>
      <c r="C35" s="14" t="s">
        <v>74</v>
      </c>
      <c r="D35" s="13" t="s">
        <v>48</v>
      </c>
      <c r="E35" s="14" t="s">
        <v>57</v>
      </c>
      <c r="F35" s="15" t="n">
        <v>20</v>
      </c>
      <c r="G35" s="16" t="n">
        <f aca="false">'Auction Inventory'!L35</f>
        <v>229.5</v>
      </c>
      <c r="H35" s="13" t="n">
        <v>3</v>
      </c>
      <c r="I35" s="16" t="n">
        <v>360.69</v>
      </c>
      <c r="J35" s="16" t="n">
        <v>399</v>
      </c>
      <c r="K35" s="16" t="n">
        <v>426.99</v>
      </c>
      <c r="L35" s="13"/>
      <c r="M35" s="13"/>
      <c r="N35" s="16"/>
      <c r="O35" s="16"/>
      <c r="P35" s="27" t="str">
        <f aca="false">IF(N35="","",N35-$G35)</f>
        <v/>
      </c>
      <c r="Q35" s="27" t="str">
        <f aca="false">IF(O35="","",O35-$G35)</f>
        <v/>
      </c>
      <c r="R35" s="27" t="n">
        <f aca="false">IF(I35="","",I35*(1-Assumptions!$B$5)-$G35)</f>
        <v>131.19</v>
      </c>
      <c r="S35" s="27" t="n">
        <f aca="false">IF(K35="","",K35*(1-Assumptions!$B$5)-$G35)</f>
        <v>197.49</v>
      </c>
      <c r="T35" s="27" t="str">
        <f aca="false">IF(P35="","",P35*$F35)</f>
        <v/>
      </c>
      <c r="U35" s="27" t="str">
        <f aca="false">IF(Q35="","",Q35*$F35)</f>
        <v/>
      </c>
      <c r="V35" s="27" t="n">
        <f aca="false">IF(R35="","",R35*$F35)</f>
        <v>2623.8</v>
      </c>
      <c r="W35" s="27" t="n">
        <f aca="false">IF(S35="","",S35*$F35)</f>
        <v>3949.8</v>
      </c>
      <c r="X35" s="14" t="s">
        <v>256</v>
      </c>
      <c r="Y35" s="14" t="s">
        <v>211</v>
      </c>
      <c r="Z35" s="28" t="s">
        <v>222</v>
      </c>
    </row>
    <row r="36" customFormat="false" ht="15" hidden="false" customHeight="false" outlineLevel="0" collapsed="false">
      <c r="A36" s="8" t="n">
        <v>50349</v>
      </c>
      <c r="B36" s="9" t="s">
        <v>97</v>
      </c>
      <c r="C36" s="9" t="s">
        <v>74</v>
      </c>
      <c r="D36" s="8" t="s">
        <v>60</v>
      </c>
      <c r="E36" s="9" t="s">
        <v>42</v>
      </c>
      <c r="F36" s="10" t="n">
        <v>240</v>
      </c>
      <c r="G36" s="11" t="n">
        <f aca="false">'Auction Inventory'!L36</f>
        <v>219.3</v>
      </c>
      <c r="H36" s="8" t="n">
        <v>3</v>
      </c>
      <c r="I36" s="11" t="n">
        <v>360.69</v>
      </c>
      <c r="J36" s="11" t="n">
        <v>390.99</v>
      </c>
      <c r="K36" s="11" t="n">
        <v>399</v>
      </c>
      <c r="L36" s="8"/>
      <c r="M36" s="8"/>
      <c r="N36" s="11"/>
      <c r="O36" s="11"/>
      <c r="P36" s="25" t="str">
        <f aca="false">IF(N36="","",N36-$G36)</f>
        <v/>
      </c>
      <c r="Q36" s="25" t="str">
        <f aca="false">IF(O36="","",O36-$G36)</f>
        <v/>
      </c>
      <c r="R36" s="25" t="n">
        <f aca="false">IF(I36="","",I36*(1-Assumptions!$B$5)-$G36)</f>
        <v>141.39</v>
      </c>
      <c r="S36" s="25" t="n">
        <f aca="false">IF(K36="","",K36*(1-Assumptions!$B$5)-$G36)</f>
        <v>179.7</v>
      </c>
      <c r="T36" s="25" t="str">
        <f aca="false">IF(P36="","",P36*$F36)</f>
        <v/>
      </c>
      <c r="U36" s="25" t="str">
        <f aca="false">IF(Q36="","",Q36*$F36)</f>
        <v/>
      </c>
      <c r="V36" s="25" t="n">
        <f aca="false">IF(R36="","",R36*$F36)</f>
        <v>33933.6</v>
      </c>
      <c r="W36" s="25" t="n">
        <f aca="false">IF(S36="","",S36*$F36)</f>
        <v>43128</v>
      </c>
      <c r="X36" s="9" t="s">
        <v>225</v>
      </c>
      <c r="Y36" s="9" t="s">
        <v>211</v>
      </c>
      <c r="Z36" s="26" t="s">
        <v>212</v>
      </c>
    </row>
    <row r="37" customFormat="false" ht="15" hidden="false" customHeight="false" outlineLevel="0" collapsed="false">
      <c r="A37" s="13" t="n">
        <v>50360</v>
      </c>
      <c r="B37" s="14" t="s">
        <v>97</v>
      </c>
      <c r="C37" s="14" t="s">
        <v>74</v>
      </c>
      <c r="D37" s="13" t="s">
        <v>60</v>
      </c>
      <c r="E37" s="14" t="s">
        <v>42</v>
      </c>
      <c r="F37" s="15" t="n">
        <v>71</v>
      </c>
      <c r="G37" s="16" t="n">
        <f aca="false">'Auction Inventory'!L37</f>
        <v>219.3</v>
      </c>
      <c r="H37" s="13" t="n">
        <v>3</v>
      </c>
      <c r="I37" s="16" t="n">
        <v>360.69</v>
      </c>
      <c r="J37" s="16" t="n">
        <v>390.99</v>
      </c>
      <c r="K37" s="16" t="n">
        <v>399</v>
      </c>
      <c r="L37" s="13"/>
      <c r="M37" s="13"/>
      <c r="N37" s="16"/>
      <c r="O37" s="16"/>
      <c r="P37" s="27" t="str">
        <f aca="false">IF(N37="","",N37-$G37)</f>
        <v/>
      </c>
      <c r="Q37" s="27" t="str">
        <f aca="false">IF(O37="","",O37-$G37)</f>
        <v/>
      </c>
      <c r="R37" s="27" t="n">
        <f aca="false">IF(I37="","",I37*(1-Assumptions!$B$5)-$G37)</f>
        <v>141.39</v>
      </c>
      <c r="S37" s="27" t="n">
        <f aca="false">IF(K37="","",K37*(1-Assumptions!$B$5)-$G37)</f>
        <v>179.7</v>
      </c>
      <c r="T37" s="27" t="str">
        <f aca="false">IF(P37="","",P37*$F37)</f>
        <v/>
      </c>
      <c r="U37" s="27" t="str">
        <f aca="false">IF(Q37="","",Q37*$F37)</f>
        <v/>
      </c>
      <c r="V37" s="27" t="n">
        <f aca="false">IF(R37="","",R37*$F37)</f>
        <v>10038.69</v>
      </c>
      <c r="W37" s="27" t="n">
        <f aca="false">IF(S37="","",S37*$F37)</f>
        <v>12758.7</v>
      </c>
      <c r="X37" s="14" t="s">
        <v>225</v>
      </c>
      <c r="Y37" s="14" t="s">
        <v>211</v>
      </c>
      <c r="Z37" s="28" t="s">
        <v>212</v>
      </c>
    </row>
    <row r="38" customFormat="false" ht="15" hidden="false" customHeight="false" outlineLevel="0" collapsed="false">
      <c r="A38" s="8" t="n">
        <v>50398</v>
      </c>
      <c r="B38" s="9" t="s">
        <v>97</v>
      </c>
      <c r="C38" s="9" t="s">
        <v>74</v>
      </c>
      <c r="D38" s="8" t="s">
        <v>60</v>
      </c>
      <c r="E38" s="9" t="s">
        <v>49</v>
      </c>
      <c r="F38" s="10" t="n">
        <v>20</v>
      </c>
      <c r="G38" s="11" t="n">
        <f aca="false">'Auction Inventory'!L38</f>
        <v>235.875</v>
      </c>
      <c r="H38" s="8" t="n">
        <v>3</v>
      </c>
      <c r="I38" s="11" t="n">
        <v>360.69</v>
      </c>
      <c r="J38" s="11" t="n">
        <v>390.99</v>
      </c>
      <c r="K38" s="11" t="n">
        <v>399</v>
      </c>
      <c r="L38" s="8"/>
      <c r="M38" s="8"/>
      <c r="N38" s="11"/>
      <c r="O38" s="11"/>
      <c r="P38" s="25" t="str">
        <f aca="false">IF(N38="","",N38-$G38)</f>
        <v/>
      </c>
      <c r="Q38" s="25" t="str">
        <f aca="false">IF(O38="","",O38-$G38)</f>
        <v/>
      </c>
      <c r="R38" s="25" t="n">
        <f aca="false">IF(I38="","",I38*(1-Assumptions!$B$5)-$G38)</f>
        <v>124.815</v>
      </c>
      <c r="S38" s="25" t="n">
        <f aca="false">IF(K38="","",K38*(1-Assumptions!$B$5)-$G38)</f>
        <v>163.125</v>
      </c>
      <c r="T38" s="25" t="str">
        <f aca="false">IF(P38="","",P38*$F38)</f>
        <v/>
      </c>
      <c r="U38" s="25" t="str">
        <f aca="false">IF(Q38="","",Q38*$F38)</f>
        <v/>
      </c>
      <c r="V38" s="25" t="n">
        <f aca="false">IF(R38="","",R38*$F38)</f>
        <v>2496.3</v>
      </c>
      <c r="W38" s="25" t="n">
        <f aca="false">IF(S38="","",S38*$F38)</f>
        <v>3262.5</v>
      </c>
      <c r="X38" s="9" t="s">
        <v>225</v>
      </c>
      <c r="Y38" s="9" t="s">
        <v>211</v>
      </c>
      <c r="Z38" s="26"/>
    </row>
    <row r="39" customFormat="false" ht="15" hidden="false" customHeight="false" outlineLevel="0" collapsed="false">
      <c r="A39" s="13" t="n">
        <v>50418</v>
      </c>
      <c r="B39" s="14" t="s">
        <v>103</v>
      </c>
      <c r="C39" s="14" t="s">
        <v>40</v>
      </c>
      <c r="D39" s="13" t="s">
        <v>60</v>
      </c>
      <c r="E39" s="14" t="s">
        <v>42</v>
      </c>
      <c r="F39" s="15" t="n">
        <v>20</v>
      </c>
      <c r="G39" s="16" t="n">
        <f aca="false">'Auction Inventory'!L39</f>
        <v>266.475</v>
      </c>
      <c r="H39" s="13" t="n">
        <v>1</v>
      </c>
      <c r="I39" s="16" t="n">
        <v>399</v>
      </c>
      <c r="J39" s="16" t="n">
        <v>399</v>
      </c>
      <c r="K39" s="16" t="n">
        <v>399</v>
      </c>
      <c r="L39" s="13"/>
      <c r="M39" s="13"/>
      <c r="N39" s="16"/>
      <c r="O39" s="16"/>
      <c r="P39" s="27" t="str">
        <f aca="false">IF(N39="","",N39-$G39)</f>
        <v/>
      </c>
      <c r="Q39" s="27" t="str">
        <f aca="false">IF(O39="","",O39-$G39)</f>
        <v/>
      </c>
      <c r="R39" s="27" t="n">
        <f aca="false">IF(I39="","",I39*(1-Assumptions!$B$5)-$G39)</f>
        <v>132.525</v>
      </c>
      <c r="S39" s="27" t="n">
        <f aca="false">IF(K39="","",K39*(1-Assumptions!$B$5)-$G39)</f>
        <v>132.525</v>
      </c>
      <c r="T39" s="27" t="str">
        <f aca="false">IF(P39="","",P39*$F39)</f>
        <v/>
      </c>
      <c r="U39" s="27" t="str">
        <f aca="false">IF(Q39="","",Q39*$F39)</f>
        <v/>
      </c>
      <c r="V39" s="27" t="n">
        <f aca="false">IF(R39="","",R39*$F39)</f>
        <v>2650.5</v>
      </c>
      <c r="W39" s="27" t="n">
        <f aca="false">IF(S39="","",S39*$F39)</f>
        <v>2650.5</v>
      </c>
      <c r="X39" s="14" t="s">
        <v>216</v>
      </c>
      <c r="Y39" s="14" t="s">
        <v>217</v>
      </c>
      <c r="Z39" s="28" t="s">
        <v>235</v>
      </c>
    </row>
    <row r="40" customFormat="false" ht="15" hidden="false" customHeight="false" outlineLevel="0" collapsed="false">
      <c r="A40" s="8" t="n">
        <v>50403</v>
      </c>
      <c r="B40" s="9" t="s">
        <v>103</v>
      </c>
      <c r="C40" s="9" t="s">
        <v>47</v>
      </c>
      <c r="D40" s="8" t="s">
        <v>60</v>
      </c>
      <c r="E40" s="9" t="s">
        <v>57</v>
      </c>
      <c r="F40" s="10" t="n">
        <v>20</v>
      </c>
      <c r="G40" s="11" t="n">
        <f aca="false">'Auction Inventory'!L40</f>
        <v>214.2</v>
      </c>
      <c r="H40" s="8" t="n">
        <v>2</v>
      </c>
      <c r="I40" s="11" t="n">
        <v>233.99</v>
      </c>
      <c r="J40" s="11" t="n">
        <v>357</v>
      </c>
      <c r="K40" s="11" t="n">
        <v>480</v>
      </c>
      <c r="L40" s="8"/>
      <c r="M40" s="8"/>
      <c r="N40" s="11"/>
      <c r="O40" s="11"/>
      <c r="P40" s="25" t="str">
        <f aca="false">IF(N40="","",N40-$G40)</f>
        <v/>
      </c>
      <c r="Q40" s="25" t="str">
        <f aca="false">IF(O40="","",O40-$G40)</f>
        <v/>
      </c>
      <c r="R40" s="25" t="n">
        <f aca="false">IF(I40="","",I40*(1-Assumptions!$B$5)-$G40)</f>
        <v>19.79</v>
      </c>
      <c r="S40" s="25" t="n">
        <f aca="false">IF(K40="","",K40*(1-Assumptions!$B$5)-$G40)</f>
        <v>265.8</v>
      </c>
      <c r="T40" s="25" t="str">
        <f aca="false">IF(P40="","",P40*$F40)</f>
        <v/>
      </c>
      <c r="U40" s="25" t="str">
        <f aca="false">IF(Q40="","",Q40*$F40)</f>
        <v/>
      </c>
      <c r="V40" s="25" t="n">
        <f aca="false">IF(R40="","",R40*$F40)</f>
        <v>395.8</v>
      </c>
      <c r="W40" s="25" t="n">
        <f aca="false">IF(S40="","",S40*$F40)</f>
        <v>5316</v>
      </c>
      <c r="X40" s="9" t="s">
        <v>227</v>
      </c>
      <c r="Y40" s="9" t="s">
        <v>228</v>
      </c>
      <c r="Z40" s="26" t="s">
        <v>229</v>
      </c>
    </row>
    <row r="41" customFormat="false" ht="15" hidden="false" customHeight="false" outlineLevel="0" collapsed="false">
      <c r="A41" s="13" t="n">
        <v>50396</v>
      </c>
      <c r="B41" s="14" t="s">
        <v>103</v>
      </c>
      <c r="C41" s="14" t="s">
        <v>74</v>
      </c>
      <c r="D41" s="13" t="s">
        <v>48</v>
      </c>
      <c r="E41" s="14" t="s">
        <v>49</v>
      </c>
      <c r="F41" s="15" t="n">
        <v>20</v>
      </c>
      <c r="G41" s="16" t="n">
        <f aca="false">'Auction Inventory'!L41</f>
        <v>229.5</v>
      </c>
      <c r="H41" s="13" t="n">
        <v>16</v>
      </c>
      <c r="I41" s="16" t="n">
        <v>250</v>
      </c>
      <c r="J41" s="16" t="n">
        <v>339.38</v>
      </c>
      <c r="K41" s="16" t="n">
        <v>425</v>
      </c>
      <c r="L41" s="13"/>
      <c r="M41" s="13"/>
      <c r="N41" s="16"/>
      <c r="O41" s="16"/>
      <c r="P41" s="27" t="str">
        <f aca="false">IF(N41="","",N41-$G41)</f>
        <v/>
      </c>
      <c r="Q41" s="27" t="str">
        <f aca="false">IF(O41="","",O41-$G41)</f>
        <v/>
      </c>
      <c r="R41" s="27" t="n">
        <f aca="false">IF(I41="","",I41*(1-Assumptions!$B$5)-$G41)</f>
        <v>20.5</v>
      </c>
      <c r="S41" s="27" t="n">
        <f aca="false">IF(K41="","",K41*(1-Assumptions!$B$5)-$G41)</f>
        <v>195.5</v>
      </c>
      <c r="T41" s="27" t="str">
        <f aca="false">IF(P41="","",P41*$F41)</f>
        <v/>
      </c>
      <c r="U41" s="27" t="str">
        <f aca="false">IF(Q41="","",Q41*$F41)</f>
        <v/>
      </c>
      <c r="V41" s="27" t="n">
        <f aca="false">IF(R41="","",R41*$F41)</f>
        <v>410</v>
      </c>
      <c r="W41" s="27" t="n">
        <f aca="false">IF(S41="","",S41*$F41)</f>
        <v>3910</v>
      </c>
      <c r="X41" s="14" t="s">
        <v>257</v>
      </c>
      <c r="Y41" s="14" t="s">
        <v>258</v>
      </c>
      <c r="Z41" s="28"/>
    </row>
    <row r="42" customFormat="false" ht="15" hidden="false" customHeight="false" outlineLevel="0" collapsed="false">
      <c r="A42" s="8" t="n">
        <v>50337</v>
      </c>
      <c r="B42" s="9" t="s">
        <v>103</v>
      </c>
      <c r="C42" s="9" t="s">
        <v>74</v>
      </c>
      <c r="D42" s="8" t="s">
        <v>53</v>
      </c>
      <c r="E42" s="9" t="s">
        <v>42</v>
      </c>
      <c r="F42" s="10" t="n">
        <v>284</v>
      </c>
      <c r="G42" s="11" t="n">
        <f aca="false">'Auction Inventory'!L42</f>
        <v>224.4</v>
      </c>
      <c r="H42" s="8" t="n">
        <v>16</v>
      </c>
      <c r="I42" s="11" t="n">
        <v>250</v>
      </c>
      <c r="J42" s="11" t="n">
        <v>339.38</v>
      </c>
      <c r="K42" s="11" t="n">
        <v>425</v>
      </c>
      <c r="L42" s="8"/>
      <c r="M42" s="8"/>
      <c r="N42" s="11"/>
      <c r="O42" s="11"/>
      <c r="P42" s="25" t="str">
        <f aca="false">IF(N42="","",N42-$G42)</f>
        <v/>
      </c>
      <c r="Q42" s="25" t="str">
        <f aca="false">IF(O42="","",O42-$G42)</f>
        <v/>
      </c>
      <c r="R42" s="25" t="n">
        <f aca="false">IF(I42="","",I42*(1-Assumptions!$B$5)-$G42)</f>
        <v>25.6</v>
      </c>
      <c r="S42" s="25" t="n">
        <f aca="false">IF(K42="","",K42*(1-Assumptions!$B$5)-$G42)</f>
        <v>200.6</v>
      </c>
      <c r="T42" s="25" t="str">
        <f aca="false">IF(P42="","",P42*$F42)</f>
        <v/>
      </c>
      <c r="U42" s="25" t="str">
        <f aca="false">IF(Q42="","",Q42*$F42)</f>
        <v/>
      </c>
      <c r="V42" s="25" t="n">
        <f aca="false">IF(R42="","",R42*$F42)</f>
        <v>7270.4</v>
      </c>
      <c r="W42" s="25" t="n">
        <f aca="false">IF(S42="","",S42*$F42)</f>
        <v>56970.4</v>
      </c>
      <c r="X42" s="9" t="s">
        <v>259</v>
      </c>
      <c r="Y42" s="9" t="s">
        <v>258</v>
      </c>
      <c r="Z42" s="26" t="s">
        <v>212</v>
      </c>
    </row>
    <row r="43" customFormat="false" ht="15" hidden="false" customHeight="false" outlineLevel="0" collapsed="false">
      <c r="A43" s="13" t="n">
        <v>50331</v>
      </c>
      <c r="B43" s="14" t="s">
        <v>103</v>
      </c>
      <c r="C43" s="14" t="s">
        <v>74</v>
      </c>
      <c r="D43" s="13" t="s">
        <v>60</v>
      </c>
      <c r="E43" s="14" t="s">
        <v>42</v>
      </c>
      <c r="F43" s="15" t="n">
        <v>394</v>
      </c>
      <c r="G43" s="16" t="n">
        <f aca="false">'Auction Inventory'!L43</f>
        <v>214.2</v>
      </c>
      <c r="H43" s="13" t="n">
        <v>17</v>
      </c>
      <c r="I43" s="16" t="n">
        <v>250</v>
      </c>
      <c r="J43" s="16" t="n">
        <v>339.99</v>
      </c>
      <c r="K43" s="16" t="n">
        <v>425</v>
      </c>
      <c r="L43" s="13"/>
      <c r="M43" s="13"/>
      <c r="N43" s="16"/>
      <c r="O43" s="16"/>
      <c r="P43" s="27" t="str">
        <f aca="false">IF(N43="","",N43-$G43)</f>
        <v/>
      </c>
      <c r="Q43" s="27" t="str">
        <f aca="false">IF(O43="","",O43-$G43)</f>
        <v/>
      </c>
      <c r="R43" s="27" t="n">
        <f aca="false">IF(I43="","",I43*(1-Assumptions!$B$5)-$G43)</f>
        <v>35.8</v>
      </c>
      <c r="S43" s="27" t="n">
        <f aca="false">IF(K43="","",K43*(1-Assumptions!$B$5)-$G43)</f>
        <v>210.8</v>
      </c>
      <c r="T43" s="27" t="str">
        <f aca="false">IF(P43="","",P43*$F43)</f>
        <v/>
      </c>
      <c r="U43" s="27" t="str">
        <f aca="false">IF(Q43="","",Q43*$F43)</f>
        <v/>
      </c>
      <c r="V43" s="27" t="n">
        <f aca="false">IF(R43="","",R43*$F43)</f>
        <v>14105.2</v>
      </c>
      <c r="W43" s="27" t="n">
        <f aca="false">IF(S43="","",S43*$F43)</f>
        <v>83055.2</v>
      </c>
      <c r="X43" s="14" t="s">
        <v>260</v>
      </c>
      <c r="Y43" s="14" t="s">
        <v>261</v>
      </c>
      <c r="Z43" s="28" t="s">
        <v>212</v>
      </c>
    </row>
    <row r="44" customFormat="false" ht="15" hidden="false" customHeight="false" outlineLevel="0" collapsed="false">
      <c r="A44" s="8" t="n">
        <v>50353</v>
      </c>
      <c r="B44" s="9" t="s">
        <v>103</v>
      </c>
      <c r="C44" s="9" t="s">
        <v>74</v>
      </c>
      <c r="D44" s="8" t="s">
        <v>60</v>
      </c>
      <c r="E44" s="9" t="s">
        <v>42</v>
      </c>
      <c r="F44" s="10" t="n">
        <v>120</v>
      </c>
      <c r="G44" s="11" t="n">
        <f aca="false">'Auction Inventory'!L44</f>
        <v>214.2</v>
      </c>
      <c r="H44" s="8" t="n">
        <v>17</v>
      </c>
      <c r="I44" s="11" t="n">
        <v>250</v>
      </c>
      <c r="J44" s="11" t="n">
        <v>339.99</v>
      </c>
      <c r="K44" s="11" t="n">
        <v>425</v>
      </c>
      <c r="L44" s="8"/>
      <c r="M44" s="8"/>
      <c r="N44" s="11"/>
      <c r="O44" s="11"/>
      <c r="P44" s="25" t="str">
        <f aca="false">IF(N44="","",N44-$G44)</f>
        <v/>
      </c>
      <c r="Q44" s="25" t="str">
        <f aca="false">IF(O44="","",O44-$G44)</f>
        <v/>
      </c>
      <c r="R44" s="25" t="n">
        <f aca="false">IF(I44="","",I44*(1-Assumptions!$B$5)-$G44)</f>
        <v>35.8</v>
      </c>
      <c r="S44" s="25" t="n">
        <f aca="false">IF(K44="","",K44*(1-Assumptions!$B$5)-$G44)</f>
        <v>210.8</v>
      </c>
      <c r="T44" s="25" t="str">
        <f aca="false">IF(P44="","",P44*$F44)</f>
        <v/>
      </c>
      <c r="U44" s="25" t="str">
        <f aca="false">IF(Q44="","",Q44*$F44)</f>
        <v/>
      </c>
      <c r="V44" s="25" t="n">
        <f aca="false">IF(R44="","",R44*$F44)</f>
        <v>4296</v>
      </c>
      <c r="W44" s="25" t="n">
        <f aca="false">IF(S44="","",S44*$F44)</f>
        <v>25296</v>
      </c>
      <c r="X44" s="9" t="s">
        <v>260</v>
      </c>
      <c r="Y44" s="9" t="s">
        <v>261</v>
      </c>
      <c r="Z44" s="26" t="s">
        <v>212</v>
      </c>
    </row>
    <row r="45" customFormat="false" ht="15" hidden="false" customHeight="false" outlineLevel="0" collapsed="false">
      <c r="A45" s="13" t="n">
        <v>50395</v>
      </c>
      <c r="B45" s="14" t="s">
        <v>110</v>
      </c>
      <c r="C45" s="14" t="s">
        <v>40</v>
      </c>
      <c r="D45" s="13" t="s">
        <v>53</v>
      </c>
      <c r="E45" s="14" t="s">
        <v>42</v>
      </c>
      <c r="F45" s="15" t="n">
        <v>20</v>
      </c>
      <c r="G45" s="16" t="n">
        <f aca="false">'Auction Inventory'!L45</f>
        <v>418.2</v>
      </c>
      <c r="H45" s="13" t="n">
        <v>4</v>
      </c>
      <c r="I45" s="16" t="n">
        <v>540</v>
      </c>
      <c r="J45" s="16" t="n">
        <v>555</v>
      </c>
      <c r="K45" s="16" t="n">
        <v>580</v>
      </c>
      <c r="L45" s="13"/>
      <c r="M45" s="13"/>
      <c r="N45" s="16"/>
      <c r="O45" s="16"/>
      <c r="P45" s="27" t="str">
        <f aca="false">IF(N45="","",N45-$G45)</f>
        <v/>
      </c>
      <c r="Q45" s="27" t="str">
        <f aca="false">IF(O45="","",O45-$G45)</f>
        <v/>
      </c>
      <c r="R45" s="27" t="n">
        <f aca="false">IF(I45="","",I45*(1-Assumptions!$B$5)-$G45)</f>
        <v>121.8</v>
      </c>
      <c r="S45" s="27" t="n">
        <f aca="false">IF(K45="","",K45*(1-Assumptions!$B$5)-$G45)</f>
        <v>161.8</v>
      </c>
      <c r="T45" s="27" t="str">
        <f aca="false">IF(P45="","",P45*$F45)</f>
        <v/>
      </c>
      <c r="U45" s="27" t="str">
        <f aca="false">IF(Q45="","",Q45*$F45)</f>
        <v/>
      </c>
      <c r="V45" s="27" t="n">
        <f aca="false">IF(R45="","",R45*$F45)</f>
        <v>2436</v>
      </c>
      <c r="W45" s="27" t="n">
        <f aca="false">IF(S45="","",S45*$F45)</f>
        <v>3236</v>
      </c>
      <c r="X45" s="14" t="s">
        <v>262</v>
      </c>
      <c r="Y45" s="14" t="s">
        <v>263</v>
      </c>
      <c r="Z45" s="28" t="s">
        <v>212</v>
      </c>
    </row>
    <row r="46" customFormat="false" ht="15" hidden="false" customHeight="false" outlineLevel="0" collapsed="false">
      <c r="A46" s="8" t="n">
        <v>50402</v>
      </c>
      <c r="B46" s="9" t="s">
        <v>110</v>
      </c>
      <c r="C46" s="9" t="s">
        <v>47</v>
      </c>
      <c r="D46" s="8" t="s">
        <v>60</v>
      </c>
      <c r="E46" s="9" t="s">
        <v>57</v>
      </c>
      <c r="F46" s="10" t="n">
        <v>20</v>
      </c>
      <c r="G46" s="11" t="n">
        <f aca="false">'Auction Inventory'!L46</f>
        <v>307.071</v>
      </c>
      <c r="H46" s="8" t="n">
        <v>4</v>
      </c>
      <c r="I46" s="11" t="n">
        <v>350</v>
      </c>
      <c r="J46" s="11" t="n">
        <v>420</v>
      </c>
      <c r="K46" s="11" t="n">
        <v>453.59</v>
      </c>
      <c r="L46" s="8"/>
      <c r="M46" s="8"/>
      <c r="N46" s="11"/>
      <c r="O46" s="11"/>
      <c r="P46" s="25" t="str">
        <f aca="false">IF(N46="","",N46-$G46)</f>
        <v/>
      </c>
      <c r="Q46" s="25" t="str">
        <f aca="false">IF(O46="","",O46-$G46)</f>
        <v/>
      </c>
      <c r="R46" s="25" t="n">
        <f aca="false">IF(I46="","",I46*(1-Assumptions!$B$5)-$G46)</f>
        <v>42.929</v>
      </c>
      <c r="S46" s="25" t="n">
        <f aca="false">IF(K46="","",K46*(1-Assumptions!$B$5)-$G46)</f>
        <v>146.519</v>
      </c>
      <c r="T46" s="25" t="str">
        <f aca="false">IF(P46="","",P46*$F46)</f>
        <v/>
      </c>
      <c r="U46" s="25" t="str">
        <f aca="false">IF(Q46="","",Q46*$F46)</f>
        <v/>
      </c>
      <c r="V46" s="25" t="n">
        <f aca="false">IF(R46="","",R46*$F46)</f>
        <v>858.58</v>
      </c>
      <c r="W46" s="25" t="n">
        <f aca="false">IF(S46="","",S46*$F46)</f>
        <v>2930.38</v>
      </c>
      <c r="X46" s="9" t="s">
        <v>253</v>
      </c>
      <c r="Y46" s="9" t="s">
        <v>264</v>
      </c>
      <c r="Z46" s="26" t="s">
        <v>222</v>
      </c>
    </row>
    <row r="47" customFormat="false" ht="15" hidden="false" customHeight="false" outlineLevel="0" collapsed="false">
      <c r="A47" s="13" t="n">
        <v>50335</v>
      </c>
      <c r="B47" s="14" t="s">
        <v>110</v>
      </c>
      <c r="C47" s="14" t="s">
        <v>74</v>
      </c>
      <c r="D47" s="13" t="s">
        <v>60</v>
      </c>
      <c r="E47" s="14" t="s">
        <v>42</v>
      </c>
      <c r="F47" s="15" t="n">
        <v>342</v>
      </c>
      <c r="G47" s="16" t="n">
        <f aca="false">'Auction Inventory'!L47</f>
        <v>224.4</v>
      </c>
      <c r="H47" s="13" t="n">
        <v>6</v>
      </c>
      <c r="I47" s="16" t="n">
        <v>300</v>
      </c>
      <c r="J47" s="16" t="n">
        <v>427</v>
      </c>
      <c r="K47" s="16" t="n">
        <v>462.29</v>
      </c>
      <c r="L47" s="13"/>
      <c r="M47" s="13"/>
      <c r="N47" s="16"/>
      <c r="O47" s="16"/>
      <c r="P47" s="27" t="str">
        <f aca="false">IF(N47="","",N47-$G47)</f>
        <v/>
      </c>
      <c r="Q47" s="27" t="str">
        <f aca="false">IF(O47="","",O47-$G47)</f>
        <v/>
      </c>
      <c r="R47" s="27" t="n">
        <f aca="false">IF(I47="","",I47*(1-Assumptions!$B$5)-$G47)</f>
        <v>75.6</v>
      </c>
      <c r="S47" s="27" t="n">
        <f aca="false">IF(K47="","",K47*(1-Assumptions!$B$5)-$G47)</f>
        <v>237.89</v>
      </c>
      <c r="T47" s="27" t="str">
        <f aca="false">IF(P47="","",P47*$F47)</f>
        <v/>
      </c>
      <c r="U47" s="27" t="str">
        <f aca="false">IF(Q47="","",Q47*$F47)</f>
        <v/>
      </c>
      <c r="V47" s="27" t="n">
        <f aca="false">IF(R47="","",R47*$F47)</f>
        <v>25855.2</v>
      </c>
      <c r="W47" s="27" t="n">
        <f aca="false">IF(S47="","",S47*$F47)</f>
        <v>81358.38</v>
      </c>
      <c r="X47" s="14" t="s">
        <v>265</v>
      </c>
      <c r="Y47" s="14" t="s">
        <v>266</v>
      </c>
      <c r="Z47" s="28" t="s">
        <v>212</v>
      </c>
    </row>
    <row r="48" customFormat="false" ht="15" hidden="false" customHeight="false" outlineLevel="0" collapsed="false">
      <c r="A48" s="8" t="n">
        <v>50355</v>
      </c>
      <c r="B48" s="9" t="s">
        <v>110</v>
      </c>
      <c r="C48" s="9" t="s">
        <v>74</v>
      </c>
      <c r="D48" s="8" t="s">
        <v>60</v>
      </c>
      <c r="E48" s="9" t="s">
        <v>42</v>
      </c>
      <c r="F48" s="10" t="n">
        <v>142</v>
      </c>
      <c r="G48" s="11" t="n">
        <f aca="false">'Auction Inventory'!L48</f>
        <v>224.4</v>
      </c>
      <c r="H48" s="8" t="n">
        <v>6</v>
      </c>
      <c r="I48" s="11" t="n">
        <v>300</v>
      </c>
      <c r="J48" s="11" t="n">
        <v>427</v>
      </c>
      <c r="K48" s="11" t="n">
        <v>462.29</v>
      </c>
      <c r="L48" s="8"/>
      <c r="M48" s="8"/>
      <c r="N48" s="11"/>
      <c r="O48" s="11"/>
      <c r="P48" s="25" t="str">
        <f aca="false">IF(N48="","",N48-$G48)</f>
        <v/>
      </c>
      <c r="Q48" s="25" t="str">
        <f aca="false">IF(O48="","",O48-$G48)</f>
        <v/>
      </c>
      <c r="R48" s="25" t="n">
        <f aca="false">IF(I48="","",I48*(1-Assumptions!$B$5)-$G48)</f>
        <v>75.6</v>
      </c>
      <c r="S48" s="25" t="n">
        <f aca="false">IF(K48="","",K48*(1-Assumptions!$B$5)-$G48)</f>
        <v>237.89</v>
      </c>
      <c r="T48" s="25" t="str">
        <f aca="false">IF(P48="","",P48*$F48)</f>
        <v/>
      </c>
      <c r="U48" s="25" t="str">
        <f aca="false">IF(Q48="","",Q48*$F48)</f>
        <v/>
      </c>
      <c r="V48" s="25" t="n">
        <f aca="false">IF(R48="","",R48*$F48)</f>
        <v>10735.2</v>
      </c>
      <c r="W48" s="25" t="n">
        <f aca="false">IF(S48="","",S48*$F48)</f>
        <v>33780.38</v>
      </c>
      <c r="X48" s="9" t="s">
        <v>265</v>
      </c>
      <c r="Y48" s="9" t="s">
        <v>266</v>
      </c>
      <c r="Z48" s="26" t="s">
        <v>212</v>
      </c>
    </row>
    <row r="49" customFormat="false" ht="15" hidden="false" customHeight="false" outlineLevel="0" collapsed="false">
      <c r="A49" s="13" t="n">
        <v>50401</v>
      </c>
      <c r="B49" s="14" t="s">
        <v>115</v>
      </c>
      <c r="C49" s="14" t="s">
        <v>40</v>
      </c>
      <c r="D49" s="13" t="s">
        <v>53</v>
      </c>
      <c r="E49" s="14" t="s">
        <v>42</v>
      </c>
      <c r="F49" s="15" t="n">
        <v>20</v>
      </c>
      <c r="G49" s="16" t="n">
        <f aca="false">'Auction Inventory'!L49</f>
        <v>332.775</v>
      </c>
      <c r="H49" s="13" t="n">
        <v>3</v>
      </c>
      <c r="I49" s="16" t="n">
        <v>480</v>
      </c>
      <c r="J49" s="16" t="n">
        <v>500</v>
      </c>
      <c r="K49" s="16" t="n">
        <v>500</v>
      </c>
      <c r="L49" s="13"/>
      <c r="M49" s="13"/>
      <c r="N49" s="16"/>
      <c r="O49" s="16"/>
      <c r="P49" s="27" t="str">
        <f aca="false">IF(N49="","",N49-$G49)</f>
        <v/>
      </c>
      <c r="Q49" s="27" t="str">
        <f aca="false">IF(O49="","",O49-$G49)</f>
        <v/>
      </c>
      <c r="R49" s="27" t="n">
        <f aca="false">IF(I49="","",I49*(1-Assumptions!$B$5)-$G49)</f>
        <v>147.225</v>
      </c>
      <c r="S49" s="27" t="n">
        <f aca="false">IF(K49="","",K49*(1-Assumptions!$B$5)-$G49)</f>
        <v>167.225</v>
      </c>
      <c r="T49" s="27" t="str">
        <f aca="false">IF(P49="","",P49*$F49)</f>
        <v/>
      </c>
      <c r="U49" s="27" t="str">
        <f aca="false">IF(Q49="","",Q49*$F49)</f>
        <v/>
      </c>
      <c r="V49" s="27" t="n">
        <f aca="false">IF(R49="","",R49*$F49)</f>
        <v>2944.5</v>
      </c>
      <c r="W49" s="27" t="n">
        <f aca="false">IF(S49="","",S49*$F49)</f>
        <v>3344.5</v>
      </c>
      <c r="X49" s="14" t="s">
        <v>267</v>
      </c>
      <c r="Y49" s="14" t="s">
        <v>211</v>
      </c>
      <c r="Z49" s="28" t="s">
        <v>212</v>
      </c>
    </row>
    <row r="50" customFormat="false" ht="15" hidden="false" customHeight="false" outlineLevel="0" collapsed="false">
      <c r="A50" s="8" t="n">
        <v>50394</v>
      </c>
      <c r="B50" s="9" t="s">
        <v>115</v>
      </c>
      <c r="C50" s="9" t="s">
        <v>47</v>
      </c>
      <c r="D50" s="8" t="s">
        <v>60</v>
      </c>
      <c r="E50" s="9" t="s">
        <v>57</v>
      </c>
      <c r="F50" s="10" t="n">
        <v>20</v>
      </c>
      <c r="G50" s="11" t="n">
        <f aca="false">'Auction Inventory'!L50</f>
        <v>209.1</v>
      </c>
      <c r="H50" s="8" t="n">
        <v>4</v>
      </c>
      <c r="I50" s="11" t="n">
        <v>400</v>
      </c>
      <c r="J50" s="11" t="n">
        <v>405</v>
      </c>
      <c r="K50" s="11" t="n">
        <v>425</v>
      </c>
      <c r="L50" s="8"/>
      <c r="M50" s="8"/>
      <c r="N50" s="11"/>
      <c r="O50" s="11"/>
      <c r="P50" s="25" t="str">
        <f aca="false">IF(N50="","",N50-$G50)</f>
        <v/>
      </c>
      <c r="Q50" s="25" t="str">
        <f aca="false">IF(O50="","",O50-$G50)</f>
        <v/>
      </c>
      <c r="R50" s="25" t="n">
        <f aca="false">IF(I50="","",I50*(1-Assumptions!$B$5)-$G50)</f>
        <v>190.9</v>
      </c>
      <c r="S50" s="25" t="n">
        <f aca="false">IF(K50="","",K50*(1-Assumptions!$B$5)-$G50)</f>
        <v>215.9</v>
      </c>
      <c r="T50" s="25" t="str">
        <f aca="false">IF(P50="","",P50*$F50)</f>
        <v/>
      </c>
      <c r="U50" s="25" t="str">
        <f aca="false">IF(Q50="","",Q50*$F50)</f>
        <v/>
      </c>
      <c r="V50" s="25" t="n">
        <f aca="false">IF(R50="","",R50*$F50)</f>
        <v>3818</v>
      </c>
      <c r="W50" s="25" t="n">
        <f aca="false">IF(S50="","",S50*$F50)</f>
        <v>4318</v>
      </c>
      <c r="X50" s="9" t="s">
        <v>253</v>
      </c>
      <c r="Y50" s="9" t="s">
        <v>268</v>
      </c>
      <c r="Z50" s="26" t="s">
        <v>222</v>
      </c>
    </row>
    <row r="51" customFormat="false" ht="15" hidden="false" customHeight="false" outlineLevel="0" collapsed="false">
      <c r="A51" s="13" t="n">
        <v>50332</v>
      </c>
      <c r="B51" s="14" t="s">
        <v>115</v>
      </c>
      <c r="C51" s="14" t="s">
        <v>74</v>
      </c>
      <c r="D51" s="13" t="s">
        <v>60</v>
      </c>
      <c r="E51" s="14" t="s">
        <v>42</v>
      </c>
      <c r="F51" s="15" t="n">
        <v>366</v>
      </c>
      <c r="G51" s="16" t="n">
        <f aca="false">'Auction Inventory'!L51</f>
        <v>209.1</v>
      </c>
      <c r="H51" s="13" t="n">
        <v>4</v>
      </c>
      <c r="I51" s="16" t="n">
        <v>300</v>
      </c>
      <c r="J51" s="16" t="n">
        <v>345</v>
      </c>
      <c r="K51" s="16" t="n">
        <v>390</v>
      </c>
      <c r="L51" s="13"/>
      <c r="M51" s="13"/>
      <c r="N51" s="16"/>
      <c r="O51" s="16"/>
      <c r="P51" s="27" t="str">
        <f aca="false">IF(N51="","",N51-$G51)</f>
        <v/>
      </c>
      <c r="Q51" s="27" t="str">
        <f aca="false">IF(O51="","",O51-$G51)</f>
        <v/>
      </c>
      <c r="R51" s="27" t="n">
        <f aca="false">IF(I51="","",I51*(1-Assumptions!$B$5)-$G51)</f>
        <v>90.9</v>
      </c>
      <c r="S51" s="27" t="n">
        <f aca="false">IF(K51="","",K51*(1-Assumptions!$B$5)-$G51)</f>
        <v>180.9</v>
      </c>
      <c r="T51" s="27" t="str">
        <f aca="false">IF(P51="","",P51*$F51)</f>
        <v/>
      </c>
      <c r="U51" s="27" t="str">
        <f aca="false">IF(Q51="","",Q51*$F51)</f>
        <v/>
      </c>
      <c r="V51" s="27" t="n">
        <f aca="false">IF(R51="","",R51*$F51)</f>
        <v>33269.4</v>
      </c>
      <c r="W51" s="27" t="n">
        <f aca="false">IF(S51="","",S51*$F51)</f>
        <v>66209.4</v>
      </c>
      <c r="X51" s="14" t="s">
        <v>253</v>
      </c>
      <c r="Y51" s="14" t="s">
        <v>263</v>
      </c>
      <c r="Z51" s="28" t="s">
        <v>212</v>
      </c>
    </row>
    <row r="52" customFormat="false" ht="15" hidden="false" customHeight="false" outlineLevel="0" collapsed="false">
      <c r="A52" s="8" t="n">
        <v>50357</v>
      </c>
      <c r="B52" s="9" t="s">
        <v>115</v>
      </c>
      <c r="C52" s="9" t="s">
        <v>74</v>
      </c>
      <c r="D52" s="8" t="s">
        <v>60</v>
      </c>
      <c r="E52" s="9" t="s">
        <v>42</v>
      </c>
      <c r="F52" s="10" t="n">
        <v>96</v>
      </c>
      <c r="G52" s="11" t="n">
        <f aca="false">'Auction Inventory'!L52</f>
        <v>209.1</v>
      </c>
      <c r="H52" s="8" t="n">
        <v>4</v>
      </c>
      <c r="I52" s="11" t="n">
        <v>300</v>
      </c>
      <c r="J52" s="11" t="n">
        <v>345</v>
      </c>
      <c r="K52" s="11" t="n">
        <v>390</v>
      </c>
      <c r="L52" s="8"/>
      <c r="M52" s="8"/>
      <c r="N52" s="11"/>
      <c r="O52" s="11"/>
      <c r="P52" s="25" t="str">
        <f aca="false">IF(N52="","",N52-$G52)</f>
        <v/>
      </c>
      <c r="Q52" s="25" t="str">
        <f aca="false">IF(O52="","",O52-$G52)</f>
        <v/>
      </c>
      <c r="R52" s="25" t="n">
        <f aca="false">IF(I52="","",I52*(1-Assumptions!$B$5)-$G52)</f>
        <v>90.9</v>
      </c>
      <c r="S52" s="25" t="n">
        <f aca="false">IF(K52="","",K52*(1-Assumptions!$B$5)-$G52)</f>
        <v>180.9</v>
      </c>
      <c r="T52" s="25" t="str">
        <f aca="false">IF(P52="","",P52*$F52)</f>
        <v/>
      </c>
      <c r="U52" s="25" t="str">
        <f aca="false">IF(Q52="","",Q52*$F52)</f>
        <v/>
      </c>
      <c r="V52" s="25" t="n">
        <f aca="false">IF(R52="","",R52*$F52)</f>
        <v>8726.4</v>
      </c>
      <c r="W52" s="25" t="n">
        <f aca="false">IF(S52="","",S52*$F52)</f>
        <v>17366.4</v>
      </c>
      <c r="X52" s="9" t="s">
        <v>253</v>
      </c>
      <c r="Y52" s="9" t="s">
        <v>263</v>
      </c>
      <c r="Z52" s="26" t="s">
        <v>212</v>
      </c>
    </row>
    <row r="53" customFormat="false" ht="15" hidden="false" customHeight="false" outlineLevel="0" collapsed="false">
      <c r="A53" s="13" t="n">
        <v>50393</v>
      </c>
      <c r="B53" s="14" t="s">
        <v>120</v>
      </c>
      <c r="C53" s="14" t="s">
        <v>40</v>
      </c>
      <c r="D53" s="13" t="s">
        <v>60</v>
      </c>
      <c r="E53" s="14" t="s">
        <v>42</v>
      </c>
      <c r="F53" s="15" t="n">
        <v>20</v>
      </c>
      <c r="G53" s="16" t="n">
        <f aca="false">'Auction Inventory'!L53</f>
        <v>153</v>
      </c>
      <c r="H53" s="13"/>
      <c r="I53" s="16"/>
      <c r="J53" s="16"/>
      <c r="K53" s="16"/>
      <c r="L53" s="13"/>
      <c r="M53" s="13"/>
      <c r="N53" s="16"/>
      <c r="O53" s="16"/>
      <c r="P53" s="27" t="str">
        <f aca="false">IF(N53="","",N53-$G53)</f>
        <v/>
      </c>
      <c r="Q53" s="27" t="str">
        <f aca="false">IF(O53="","",O53-$G53)</f>
        <v/>
      </c>
      <c r="R53" s="27" t="str">
        <f aca="false">IF(I53="","",I53*(1-Assumptions!$B$5)-$G53)</f>
        <v/>
      </c>
      <c r="S53" s="27" t="str">
        <f aca="false">IF(K53="","",K53*(1-Assumptions!$B$5)-$G53)</f>
        <v/>
      </c>
      <c r="T53" s="27" t="str">
        <f aca="false">IF(P53="","",P53*$F53)</f>
        <v/>
      </c>
      <c r="U53" s="27" t="str">
        <f aca="false">IF(Q53="","",Q53*$F53)</f>
        <v/>
      </c>
      <c r="V53" s="27" t="str">
        <f aca="false">IF(R53="","",R53*$F53)</f>
        <v/>
      </c>
      <c r="W53" s="27" t="str">
        <f aca="false">IF(S53="","",S53*$F53)</f>
        <v/>
      </c>
      <c r="X53" s="14"/>
      <c r="Y53" s="14"/>
      <c r="Z53" s="28" t="s">
        <v>219</v>
      </c>
    </row>
    <row r="54" customFormat="false" ht="15" hidden="false" customHeight="false" outlineLevel="0" collapsed="false">
      <c r="A54" s="8" t="n">
        <v>50368</v>
      </c>
      <c r="B54" s="9" t="s">
        <v>120</v>
      </c>
      <c r="C54" s="9" t="s">
        <v>74</v>
      </c>
      <c r="D54" s="8" t="s">
        <v>48</v>
      </c>
      <c r="E54" s="9" t="s">
        <v>42</v>
      </c>
      <c r="F54" s="10" t="n">
        <v>22</v>
      </c>
      <c r="G54" s="11" t="n">
        <f aca="false">'Auction Inventory'!L54</f>
        <v>279.340909090909</v>
      </c>
      <c r="H54" s="8" t="n">
        <v>8</v>
      </c>
      <c r="I54" s="11" t="n">
        <v>244.79</v>
      </c>
      <c r="J54" s="11" t="n">
        <v>287.5</v>
      </c>
      <c r="K54" s="11" t="n">
        <v>321.59</v>
      </c>
      <c r="L54" s="8"/>
      <c r="M54" s="8"/>
      <c r="N54" s="11"/>
      <c r="O54" s="11"/>
      <c r="P54" s="25" t="str">
        <f aca="false">IF(N54="","",N54-$G54)</f>
        <v/>
      </c>
      <c r="Q54" s="25" t="str">
        <f aca="false">IF(O54="","",O54-$G54)</f>
        <v/>
      </c>
      <c r="R54" s="25" t="n">
        <f aca="false">IF(I54="","",I54*(1-Assumptions!$B$5)-$G54)</f>
        <v>-34.5509090909091</v>
      </c>
      <c r="S54" s="25" t="n">
        <f aca="false">IF(K54="","",K54*(1-Assumptions!$B$5)-$G54)</f>
        <v>42.2490909090909</v>
      </c>
      <c r="T54" s="25" t="str">
        <f aca="false">IF(P54="","",P54*$F54)</f>
        <v/>
      </c>
      <c r="U54" s="25" t="str">
        <f aca="false">IF(Q54="","",Q54*$F54)</f>
        <v/>
      </c>
      <c r="V54" s="25" t="n">
        <f aca="false">IF(R54="","",R54*$F54)</f>
        <v>-760.12</v>
      </c>
      <c r="W54" s="25" t="n">
        <f aca="false">IF(S54="","",S54*$F54)</f>
        <v>929.48</v>
      </c>
      <c r="X54" s="9" t="s">
        <v>269</v>
      </c>
      <c r="Y54" s="9" t="s">
        <v>270</v>
      </c>
      <c r="Z54" s="26" t="s">
        <v>212</v>
      </c>
    </row>
    <row r="55" customFormat="false" ht="15" hidden="false" customHeight="false" outlineLevel="0" collapsed="false">
      <c r="A55" s="13" t="n">
        <v>50344</v>
      </c>
      <c r="B55" s="14" t="s">
        <v>120</v>
      </c>
      <c r="C55" s="14" t="s">
        <v>74</v>
      </c>
      <c r="D55" s="13" t="s">
        <v>60</v>
      </c>
      <c r="E55" s="14" t="s">
        <v>42</v>
      </c>
      <c r="F55" s="15" t="n">
        <v>240</v>
      </c>
      <c r="G55" s="16" t="n">
        <f aca="false">'Auction Inventory'!L55</f>
        <v>153</v>
      </c>
      <c r="H55" s="13" t="n">
        <v>7</v>
      </c>
      <c r="I55" s="16" t="n">
        <v>244.79</v>
      </c>
      <c r="J55" s="16" t="n">
        <v>275</v>
      </c>
      <c r="K55" s="16" t="n">
        <v>306</v>
      </c>
      <c r="L55" s="13"/>
      <c r="M55" s="13"/>
      <c r="N55" s="16"/>
      <c r="O55" s="16"/>
      <c r="P55" s="27" t="str">
        <f aca="false">IF(N55="","",N55-$G55)</f>
        <v/>
      </c>
      <c r="Q55" s="27" t="str">
        <f aca="false">IF(O55="","",O55-$G55)</f>
        <v/>
      </c>
      <c r="R55" s="27" t="n">
        <f aca="false">IF(I55="","",I55*(1-Assumptions!$B$5)-$G55)</f>
        <v>91.79</v>
      </c>
      <c r="S55" s="27" t="n">
        <f aca="false">IF(K55="","",K55*(1-Assumptions!$B$5)-$G55)</f>
        <v>153</v>
      </c>
      <c r="T55" s="27" t="str">
        <f aca="false">IF(P55="","",P55*$F55)</f>
        <v/>
      </c>
      <c r="U55" s="27" t="str">
        <f aca="false">IF(Q55="","",Q55*$F55)</f>
        <v/>
      </c>
      <c r="V55" s="27" t="n">
        <f aca="false">IF(R55="","",R55*$F55)</f>
        <v>22029.6</v>
      </c>
      <c r="W55" s="27" t="n">
        <f aca="false">IF(S55="","",S55*$F55)</f>
        <v>36720</v>
      </c>
      <c r="X55" s="14" t="s">
        <v>271</v>
      </c>
      <c r="Y55" s="14" t="s">
        <v>233</v>
      </c>
      <c r="Z55" s="28" t="s">
        <v>212</v>
      </c>
    </row>
    <row r="56" customFormat="false" ht="15" hidden="false" customHeight="false" outlineLevel="0" collapsed="false">
      <c r="A56" s="8" t="n">
        <v>50358</v>
      </c>
      <c r="B56" s="9" t="s">
        <v>120</v>
      </c>
      <c r="C56" s="9" t="s">
        <v>74</v>
      </c>
      <c r="D56" s="8" t="s">
        <v>60</v>
      </c>
      <c r="E56" s="9" t="s">
        <v>42</v>
      </c>
      <c r="F56" s="10" t="n">
        <v>95</v>
      </c>
      <c r="G56" s="11" t="n">
        <f aca="false">'Auction Inventory'!L56</f>
        <v>153</v>
      </c>
      <c r="H56" s="8" t="n">
        <v>7</v>
      </c>
      <c r="I56" s="11" t="n">
        <v>244.79</v>
      </c>
      <c r="J56" s="11" t="n">
        <v>275</v>
      </c>
      <c r="K56" s="11" t="n">
        <v>306</v>
      </c>
      <c r="L56" s="8"/>
      <c r="M56" s="8"/>
      <c r="N56" s="11"/>
      <c r="O56" s="11"/>
      <c r="P56" s="25" t="str">
        <f aca="false">IF(N56="","",N56-$G56)</f>
        <v/>
      </c>
      <c r="Q56" s="25" t="str">
        <f aca="false">IF(O56="","",O56-$G56)</f>
        <v/>
      </c>
      <c r="R56" s="25" t="n">
        <f aca="false">IF(I56="","",I56*(1-Assumptions!$B$5)-$G56)</f>
        <v>91.79</v>
      </c>
      <c r="S56" s="25" t="n">
        <f aca="false">IF(K56="","",K56*(1-Assumptions!$B$5)-$G56)</f>
        <v>153</v>
      </c>
      <c r="T56" s="25" t="str">
        <f aca="false">IF(P56="","",P56*$F56)</f>
        <v/>
      </c>
      <c r="U56" s="25" t="str">
        <f aca="false">IF(Q56="","",Q56*$F56)</f>
        <v/>
      </c>
      <c r="V56" s="25" t="n">
        <f aca="false">IF(R56="","",R56*$F56)</f>
        <v>8720.05</v>
      </c>
      <c r="W56" s="25" t="n">
        <f aca="false">IF(S56="","",S56*$F56)</f>
        <v>14535</v>
      </c>
      <c r="X56" s="9" t="s">
        <v>271</v>
      </c>
      <c r="Y56" s="9" t="s">
        <v>233</v>
      </c>
      <c r="Z56" s="26" t="s">
        <v>212</v>
      </c>
    </row>
    <row r="57" customFormat="false" ht="15" hidden="false" customHeight="false" outlineLevel="0" collapsed="false">
      <c r="A57" s="13" t="n">
        <v>50387</v>
      </c>
      <c r="B57" s="14" t="s">
        <v>120</v>
      </c>
      <c r="C57" s="14" t="s">
        <v>74</v>
      </c>
      <c r="D57" s="13" t="s">
        <v>60</v>
      </c>
      <c r="E57" s="14" t="s">
        <v>57</v>
      </c>
      <c r="F57" s="15" t="n">
        <v>20</v>
      </c>
      <c r="G57" s="16" t="n">
        <f aca="false">'Auction Inventory'!L57</f>
        <v>153</v>
      </c>
      <c r="H57" s="13" t="n">
        <v>7</v>
      </c>
      <c r="I57" s="16" t="n">
        <v>244.79</v>
      </c>
      <c r="J57" s="16" t="n">
        <v>275</v>
      </c>
      <c r="K57" s="16" t="n">
        <v>306</v>
      </c>
      <c r="L57" s="13"/>
      <c r="M57" s="13"/>
      <c r="N57" s="16"/>
      <c r="O57" s="16"/>
      <c r="P57" s="27" t="str">
        <f aca="false">IF(N57="","",N57-$G57)</f>
        <v/>
      </c>
      <c r="Q57" s="27" t="str">
        <f aca="false">IF(O57="","",O57-$G57)</f>
        <v/>
      </c>
      <c r="R57" s="27" t="n">
        <f aca="false">IF(I57="","",I57*(1-Assumptions!$B$5)-$G57)</f>
        <v>91.79</v>
      </c>
      <c r="S57" s="27" t="n">
        <f aca="false">IF(K57="","",K57*(1-Assumptions!$B$5)-$G57)</f>
        <v>153</v>
      </c>
      <c r="T57" s="27" t="str">
        <f aca="false">IF(P57="","",P57*$F57)</f>
        <v/>
      </c>
      <c r="U57" s="27" t="str">
        <f aca="false">IF(Q57="","",Q57*$F57)</f>
        <v/>
      </c>
      <c r="V57" s="27" t="n">
        <f aca="false">IF(R57="","",R57*$F57)</f>
        <v>1835.8</v>
      </c>
      <c r="W57" s="27" t="n">
        <f aca="false">IF(S57="","",S57*$F57)</f>
        <v>3060</v>
      </c>
      <c r="X57" s="14" t="s">
        <v>271</v>
      </c>
      <c r="Y57" s="14" t="s">
        <v>233</v>
      </c>
      <c r="Z57" s="28" t="s">
        <v>222</v>
      </c>
    </row>
    <row r="58" customFormat="false" ht="15" hidden="false" customHeight="false" outlineLevel="0" collapsed="false">
      <c r="A58" s="8" t="n">
        <v>50392</v>
      </c>
      <c r="B58" s="9" t="s">
        <v>126</v>
      </c>
      <c r="C58" s="9" t="s">
        <v>74</v>
      </c>
      <c r="D58" s="8" t="s">
        <v>48</v>
      </c>
      <c r="E58" s="9" t="s">
        <v>57</v>
      </c>
      <c r="F58" s="10" t="n">
        <v>20</v>
      </c>
      <c r="G58" s="11" t="n">
        <f aca="false">'Auction Inventory'!L58</f>
        <v>163.2</v>
      </c>
      <c r="H58" s="8" t="n">
        <v>19</v>
      </c>
      <c r="I58" s="11" t="n">
        <v>117.5</v>
      </c>
      <c r="J58" s="11" t="n">
        <v>242.5</v>
      </c>
      <c r="K58" s="11" t="n">
        <v>339.99</v>
      </c>
      <c r="L58" s="8"/>
      <c r="M58" s="8"/>
      <c r="N58" s="11"/>
      <c r="O58" s="11"/>
      <c r="P58" s="25" t="str">
        <f aca="false">IF(N58="","",N58-$G58)</f>
        <v/>
      </c>
      <c r="Q58" s="25" t="str">
        <f aca="false">IF(O58="","",O58-$G58)</f>
        <v/>
      </c>
      <c r="R58" s="25" t="n">
        <f aca="false">IF(I58="","",I58*(1-Assumptions!$B$5)-$G58)</f>
        <v>-45.7</v>
      </c>
      <c r="S58" s="25" t="n">
        <f aca="false">IF(K58="","",K58*(1-Assumptions!$B$5)-$G58)</f>
        <v>176.79</v>
      </c>
      <c r="T58" s="25" t="str">
        <f aca="false">IF(P58="","",P58*$F58)</f>
        <v/>
      </c>
      <c r="U58" s="25" t="str">
        <f aca="false">IF(Q58="","",Q58*$F58)</f>
        <v/>
      </c>
      <c r="V58" s="25" t="n">
        <f aca="false">IF(R58="","",R58*$F58)</f>
        <v>-914</v>
      </c>
      <c r="W58" s="25" t="n">
        <f aca="false">IF(S58="","",S58*$F58)</f>
        <v>3535.8</v>
      </c>
      <c r="X58" s="9" t="s">
        <v>272</v>
      </c>
      <c r="Y58" s="9" t="s">
        <v>273</v>
      </c>
      <c r="Z58" s="26" t="s">
        <v>222</v>
      </c>
    </row>
    <row r="59" customFormat="false" ht="15" hidden="false" customHeight="false" outlineLevel="0" collapsed="false">
      <c r="A59" s="13" t="n">
        <v>50346</v>
      </c>
      <c r="B59" s="14" t="s">
        <v>126</v>
      </c>
      <c r="C59" s="14" t="s">
        <v>74</v>
      </c>
      <c r="D59" s="13" t="s">
        <v>53</v>
      </c>
      <c r="E59" s="14" t="s">
        <v>42</v>
      </c>
      <c r="F59" s="15" t="n">
        <v>213</v>
      </c>
      <c r="G59" s="16" t="n">
        <f aca="false">'Auction Inventory'!L59</f>
        <v>153</v>
      </c>
      <c r="H59" s="13" t="n">
        <v>19</v>
      </c>
      <c r="I59" s="16" t="n">
        <v>117.5</v>
      </c>
      <c r="J59" s="16" t="n">
        <v>242.5</v>
      </c>
      <c r="K59" s="16" t="n">
        <v>296.99</v>
      </c>
      <c r="L59" s="13"/>
      <c r="M59" s="13"/>
      <c r="N59" s="16"/>
      <c r="O59" s="16"/>
      <c r="P59" s="27" t="str">
        <f aca="false">IF(N59="","",N59-$G59)</f>
        <v/>
      </c>
      <c r="Q59" s="27" t="str">
        <f aca="false">IF(O59="","",O59-$G59)</f>
        <v/>
      </c>
      <c r="R59" s="27" t="n">
        <f aca="false">IF(I59="","",I59*(1-Assumptions!$B$5)-$G59)</f>
        <v>-35.5</v>
      </c>
      <c r="S59" s="27" t="n">
        <f aca="false">IF(K59="","",K59*(1-Assumptions!$B$5)-$G59)</f>
        <v>143.99</v>
      </c>
      <c r="T59" s="27" t="str">
        <f aca="false">IF(P59="","",P59*$F59)</f>
        <v/>
      </c>
      <c r="U59" s="27" t="str">
        <f aca="false">IF(Q59="","",Q59*$F59)</f>
        <v/>
      </c>
      <c r="V59" s="27" t="n">
        <f aca="false">IF(R59="","",R59*$F59)</f>
        <v>-7561.5</v>
      </c>
      <c r="W59" s="27" t="n">
        <f aca="false">IF(S59="","",S59*$F59)</f>
        <v>30669.87</v>
      </c>
      <c r="X59" s="14" t="s">
        <v>274</v>
      </c>
      <c r="Y59" s="14" t="s">
        <v>275</v>
      </c>
      <c r="Z59" s="28" t="s">
        <v>212</v>
      </c>
    </row>
    <row r="60" customFormat="false" ht="15" hidden="false" customHeight="false" outlineLevel="0" collapsed="false">
      <c r="A60" s="8" t="n">
        <v>50359</v>
      </c>
      <c r="B60" s="9" t="s">
        <v>126</v>
      </c>
      <c r="C60" s="9" t="s">
        <v>74</v>
      </c>
      <c r="D60" s="8" t="s">
        <v>53</v>
      </c>
      <c r="E60" s="9" t="s">
        <v>42</v>
      </c>
      <c r="F60" s="10" t="n">
        <v>72</v>
      </c>
      <c r="G60" s="11" t="n">
        <f aca="false">'Auction Inventory'!L60</f>
        <v>157.25</v>
      </c>
      <c r="H60" s="8" t="n">
        <v>19</v>
      </c>
      <c r="I60" s="11" t="n">
        <v>117.5</v>
      </c>
      <c r="J60" s="11" t="n">
        <v>242.5</v>
      </c>
      <c r="K60" s="11" t="n">
        <v>296.99</v>
      </c>
      <c r="L60" s="8"/>
      <c r="M60" s="8"/>
      <c r="N60" s="11"/>
      <c r="O60" s="11"/>
      <c r="P60" s="25" t="str">
        <f aca="false">IF(N60="","",N60-$G60)</f>
        <v/>
      </c>
      <c r="Q60" s="25" t="str">
        <f aca="false">IF(O60="","",O60-$G60)</f>
        <v/>
      </c>
      <c r="R60" s="25" t="n">
        <f aca="false">IF(I60="","",I60*(1-Assumptions!$B$5)-$G60)</f>
        <v>-39.75</v>
      </c>
      <c r="S60" s="25" t="n">
        <f aca="false">IF(K60="","",K60*(1-Assumptions!$B$5)-$G60)</f>
        <v>139.74</v>
      </c>
      <c r="T60" s="25" t="str">
        <f aca="false">IF(P60="","",P60*$F60)</f>
        <v/>
      </c>
      <c r="U60" s="25" t="str">
        <f aca="false">IF(Q60="","",Q60*$F60)</f>
        <v/>
      </c>
      <c r="V60" s="25" t="n">
        <f aca="false">IF(R60="","",R60*$F60)</f>
        <v>-2862</v>
      </c>
      <c r="W60" s="25" t="n">
        <f aca="false">IF(S60="","",S60*$F60)</f>
        <v>10061.28</v>
      </c>
      <c r="X60" s="9" t="s">
        <v>274</v>
      </c>
      <c r="Y60" s="9" t="s">
        <v>275</v>
      </c>
      <c r="Z60" s="26" t="s">
        <v>212</v>
      </c>
    </row>
    <row r="61" customFormat="false" ht="15" hidden="false" customHeight="false" outlineLevel="0" collapsed="false">
      <c r="A61" s="13" t="n">
        <v>50350</v>
      </c>
      <c r="B61" s="14" t="s">
        <v>126</v>
      </c>
      <c r="C61" s="14" t="s">
        <v>74</v>
      </c>
      <c r="D61" s="13" t="s">
        <v>60</v>
      </c>
      <c r="E61" s="14" t="s">
        <v>42</v>
      </c>
      <c r="F61" s="15" t="n">
        <v>236</v>
      </c>
      <c r="G61" s="16" t="n">
        <f aca="false">'Auction Inventory'!L61</f>
        <v>147.9</v>
      </c>
      <c r="H61" s="13" t="n">
        <v>18</v>
      </c>
      <c r="I61" s="16" t="n">
        <v>117.5</v>
      </c>
      <c r="J61" s="16" t="n">
        <v>241.5</v>
      </c>
      <c r="K61" s="16" t="n">
        <v>267.46</v>
      </c>
      <c r="L61" s="13"/>
      <c r="M61" s="13"/>
      <c r="N61" s="16"/>
      <c r="O61" s="16"/>
      <c r="P61" s="27" t="str">
        <f aca="false">IF(N61="","",N61-$G61)</f>
        <v/>
      </c>
      <c r="Q61" s="27" t="str">
        <f aca="false">IF(O61="","",O61-$G61)</f>
        <v/>
      </c>
      <c r="R61" s="27" t="n">
        <f aca="false">IF(I61="","",I61*(1-Assumptions!$B$5)-$G61)</f>
        <v>-30.4</v>
      </c>
      <c r="S61" s="27" t="n">
        <f aca="false">IF(K61="","",K61*(1-Assumptions!$B$5)-$G61)</f>
        <v>119.56</v>
      </c>
      <c r="T61" s="27" t="str">
        <f aca="false">IF(P61="","",P61*$F61)</f>
        <v/>
      </c>
      <c r="U61" s="27" t="str">
        <f aca="false">IF(Q61="","",Q61*$F61)</f>
        <v/>
      </c>
      <c r="V61" s="27" t="n">
        <f aca="false">IF(R61="","",R61*$F61)</f>
        <v>-7174.4</v>
      </c>
      <c r="W61" s="27" t="n">
        <f aca="false">IF(S61="","",S61*$F61)</f>
        <v>28216.16</v>
      </c>
      <c r="X61" s="14" t="s">
        <v>276</v>
      </c>
      <c r="Y61" s="14" t="s">
        <v>277</v>
      </c>
      <c r="Z61" s="28" t="s">
        <v>212</v>
      </c>
    </row>
    <row r="62" customFormat="false" ht="15" hidden="false" customHeight="false" outlineLevel="0" collapsed="false">
      <c r="A62" s="8" t="n">
        <v>50334</v>
      </c>
      <c r="B62" s="9" t="s">
        <v>131</v>
      </c>
      <c r="C62" s="9" t="s">
        <v>74</v>
      </c>
      <c r="D62" s="8" t="s">
        <v>60</v>
      </c>
      <c r="E62" s="9" t="s">
        <v>42</v>
      </c>
      <c r="F62" s="10" t="n">
        <v>377</v>
      </c>
      <c r="G62" s="11" t="n">
        <f aca="false">'Auction Inventory'!L62</f>
        <v>214.2</v>
      </c>
      <c r="H62" s="8" t="n">
        <v>4</v>
      </c>
      <c r="I62" s="11" t="n">
        <v>299.95</v>
      </c>
      <c r="J62" s="11" t="n">
        <v>332.5</v>
      </c>
      <c r="K62" s="11" t="n">
        <v>379.99</v>
      </c>
      <c r="L62" s="8"/>
      <c r="M62" s="8"/>
      <c r="N62" s="11"/>
      <c r="O62" s="11"/>
      <c r="P62" s="25" t="str">
        <f aca="false">IF(N62="","",N62-$G62)</f>
        <v/>
      </c>
      <c r="Q62" s="25" t="str">
        <f aca="false">IF(O62="","",O62-$G62)</f>
        <v/>
      </c>
      <c r="R62" s="25" t="n">
        <f aca="false">IF(I62="","",I62*(1-Assumptions!$B$5)-$G62)</f>
        <v>85.75</v>
      </c>
      <c r="S62" s="25" t="n">
        <f aca="false">IF(K62="","",K62*(1-Assumptions!$B$5)-$G62)</f>
        <v>165.79</v>
      </c>
      <c r="T62" s="25" t="str">
        <f aca="false">IF(P62="","",P62*$F62)</f>
        <v/>
      </c>
      <c r="U62" s="25" t="str">
        <f aca="false">IF(Q62="","",Q62*$F62)</f>
        <v/>
      </c>
      <c r="V62" s="25" t="n">
        <f aca="false">IF(R62="","",R62*$F62)</f>
        <v>32327.75</v>
      </c>
      <c r="W62" s="25" t="n">
        <f aca="false">IF(S62="","",S62*$F62)</f>
        <v>62502.83</v>
      </c>
      <c r="X62" s="9" t="s">
        <v>253</v>
      </c>
      <c r="Y62" s="9" t="s">
        <v>278</v>
      </c>
      <c r="Z62" s="26" t="s">
        <v>212</v>
      </c>
    </row>
    <row r="63" customFormat="false" ht="15" hidden="false" customHeight="false" outlineLevel="0" collapsed="false">
      <c r="A63" s="13" t="n">
        <v>50356</v>
      </c>
      <c r="B63" s="14" t="s">
        <v>131</v>
      </c>
      <c r="C63" s="14" t="s">
        <v>74</v>
      </c>
      <c r="D63" s="13" t="s">
        <v>60</v>
      </c>
      <c r="E63" s="14" t="s">
        <v>42</v>
      </c>
      <c r="F63" s="15" t="n">
        <v>120</v>
      </c>
      <c r="G63" s="16" t="n">
        <f aca="false">'Auction Inventory'!L63</f>
        <v>255.85</v>
      </c>
      <c r="H63" s="13" t="n">
        <v>4</v>
      </c>
      <c r="I63" s="16" t="n">
        <v>299.95</v>
      </c>
      <c r="J63" s="16" t="n">
        <v>332.5</v>
      </c>
      <c r="K63" s="16" t="n">
        <v>379.99</v>
      </c>
      <c r="L63" s="13"/>
      <c r="M63" s="13"/>
      <c r="N63" s="16"/>
      <c r="O63" s="16"/>
      <c r="P63" s="27" t="str">
        <f aca="false">IF(N63="","",N63-$G63)</f>
        <v/>
      </c>
      <c r="Q63" s="27" t="str">
        <f aca="false">IF(O63="","",O63-$G63)</f>
        <v/>
      </c>
      <c r="R63" s="27" t="n">
        <f aca="false">IF(I63="","",I63*(1-Assumptions!$B$5)-$G63)</f>
        <v>44.1</v>
      </c>
      <c r="S63" s="27" t="n">
        <f aca="false">IF(K63="","",K63*(1-Assumptions!$B$5)-$G63)</f>
        <v>124.14</v>
      </c>
      <c r="T63" s="27" t="str">
        <f aca="false">IF(P63="","",P63*$F63)</f>
        <v/>
      </c>
      <c r="U63" s="27" t="str">
        <f aca="false">IF(Q63="","",Q63*$F63)</f>
        <v/>
      </c>
      <c r="V63" s="27" t="n">
        <f aca="false">IF(R63="","",R63*$F63)</f>
        <v>5292</v>
      </c>
      <c r="W63" s="27" t="n">
        <f aca="false">IF(S63="","",S63*$F63)</f>
        <v>14896.8</v>
      </c>
      <c r="X63" s="14" t="s">
        <v>253</v>
      </c>
      <c r="Y63" s="14" t="s">
        <v>278</v>
      </c>
      <c r="Z63" s="28" t="s">
        <v>212</v>
      </c>
    </row>
    <row r="64" customFormat="false" ht="15" hidden="false" customHeight="false" outlineLevel="0" collapsed="false">
      <c r="A64" s="8" t="n">
        <v>50386</v>
      </c>
      <c r="B64" s="9" t="s">
        <v>131</v>
      </c>
      <c r="C64" s="9" t="s">
        <v>74</v>
      </c>
      <c r="D64" s="8" t="s">
        <v>60</v>
      </c>
      <c r="E64" s="9" t="s">
        <v>49</v>
      </c>
      <c r="F64" s="10" t="n">
        <v>20</v>
      </c>
      <c r="G64" s="11" t="n">
        <f aca="false">'Auction Inventory'!L64</f>
        <v>214.2</v>
      </c>
      <c r="H64" s="8" t="n">
        <v>4</v>
      </c>
      <c r="I64" s="11" t="n">
        <v>299.95</v>
      </c>
      <c r="J64" s="11" t="n">
        <v>332.5</v>
      </c>
      <c r="K64" s="11" t="n">
        <v>379.99</v>
      </c>
      <c r="L64" s="8"/>
      <c r="M64" s="8"/>
      <c r="N64" s="11"/>
      <c r="O64" s="11"/>
      <c r="P64" s="25" t="str">
        <f aca="false">IF(N64="","",N64-$G64)</f>
        <v/>
      </c>
      <c r="Q64" s="25" t="str">
        <f aca="false">IF(O64="","",O64-$G64)</f>
        <v/>
      </c>
      <c r="R64" s="25" t="n">
        <f aca="false">IF(I64="","",I64*(1-Assumptions!$B$5)-$G64)</f>
        <v>85.75</v>
      </c>
      <c r="S64" s="25" t="n">
        <f aca="false">IF(K64="","",K64*(1-Assumptions!$B$5)-$G64)</f>
        <v>165.79</v>
      </c>
      <c r="T64" s="25" t="str">
        <f aca="false">IF(P64="","",P64*$F64)</f>
        <v/>
      </c>
      <c r="U64" s="25" t="str">
        <f aca="false">IF(Q64="","",Q64*$F64)</f>
        <v/>
      </c>
      <c r="V64" s="25" t="n">
        <f aca="false">IF(R64="","",R64*$F64)</f>
        <v>1715</v>
      </c>
      <c r="W64" s="25" t="n">
        <f aca="false">IF(S64="","",S64*$F64)</f>
        <v>3315.8</v>
      </c>
      <c r="X64" s="9" t="s">
        <v>253</v>
      </c>
      <c r="Y64" s="9" t="s">
        <v>278</v>
      </c>
      <c r="Z64" s="26"/>
    </row>
    <row r="65" customFormat="false" ht="15" hidden="false" customHeight="false" outlineLevel="0" collapsed="false">
      <c r="A65" s="13" t="n">
        <v>50391</v>
      </c>
      <c r="B65" s="14" t="s">
        <v>135</v>
      </c>
      <c r="C65" s="14" t="s">
        <v>40</v>
      </c>
      <c r="D65" s="13" t="s">
        <v>53</v>
      </c>
      <c r="E65" s="14" t="s">
        <v>42</v>
      </c>
      <c r="F65" s="15" t="n">
        <v>20</v>
      </c>
      <c r="G65" s="16" t="n">
        <f aca="false">'Auction Inventory'!L65</f>
        <v>306</v>
      </c>
      <c r="H65" s="13"/>
      <c r="I65" s="16"/>
      <c r="J65" s="16"/>
      <c r="K65" s="16"/>
      <c r="L65" s="13"/>
      <c r="M65" s="13"/>
      <c r="N65" s="16"/>
      <c r="O65" s="16"/>
      <c r="P65" s="27" t="str">
        <f aca="false">IF(N65="","",N65-$G65)</f>
        <v/>
      </c>
      <c r="Q65" s="27" t="str">
        <f aca="false">IF(O65="","",O65-$G65)</f>
        <v/>
      </c>
      <c r="R65" s="27" t="str">
        <f aca="false">IF(I65="","",I65*(1-Assumptions!$B$5)-$G65)</f>
        <v/>
      </c>
      <c r="S65" s="27" t="str">
        <f aca="false">IF(K65="","",K65*(1-Assumptions!$B$5)-$G65)</f>
        <v/>
      </c>
      <c r="T65" s="27" t="str">
        <f aca="false">IF(P65="","",P65*$F65)</f>
        <v/>
      </c>
      <c r="U65" s="27" t="str">
        <f aca="false">IF(Q65="","",Q65*$F65)</f>
        <v/>
      </c>
      <c r="V65" s="27" t="str">
        <f aca="false">IF(R65="","",R65*$F65)</f>
        <v/>
      </c>
      <c r="W65" s="27" t="str">
        <f aca="false">IF(S65="","",S65*$F65)</f>
        <v/>
      </c>
      <c r="X65" s="14"/>
      <c r="Y65" s="14"/>
      <c r="Z65" s="28" t="s">
        <v>219</v>
      </c>
    </row>
    <row r="66" customFormat="false" ht="15" hidden="false" customHeight="false" outlineLevel="0" collapsed="false">
      <c r="A66" s="8" t="n">
        <v>50341</v>
      </c>
      <c r="B66" s="9" t="s">
        <v>135</v>
      </c>
      <c r="C66" s="9" t="s">
        <v>74</v>
      </c>
      <c r="D66" s="8" t="s">
        <v>60</v>
      </c>
      <c r="E66" s="9" t="s">
        <v>42</v>
      </c>
      <c r="F66" s="10" t="n">
        <v>288</v>
      </c>
      <c r="G66" s="11" t="n">
        <f aca="false">'Auction Inventory'!L66</f>
        <v>178.5</v>
      </c>
      <c r="H66" s="8" t="n">
        <v>5</v>
      </c>
      <c r="I66" s="11" t="n">
        <v>178.3</v>
      </c>
      <c r="J66" s="11" t="n">
        <v>299.99</v>
      </c>
      <c r="K66" s="11" t="n">
        <v>342.99</v>
      </c>
      <c r="L66" s="8"/>
      <c r="M66" s="8"/>
      <c r="N66" s="11"/>
      <c r="O66" s="11"/>
      <c r="P66" s="25" t="str">
        <f aca="false">IF(N66="","",N66-$G66)</f>
        <v/>
      </c>
      <c r="Q66" s="25" t="str">
        <f aca="false">IF(O66="","",O66-$G66)</f>
        <v/>
      </c>
      <c r="R66" s="25" t="n">
        <f aca="false">IF(I66="","",I66*(1-Assumptions!$B$5)-$G66)</f>
        <v>-0.199999999999989</v>
      </c>
      <c r="S66" s="25" t="n">
        <f aca="false">IF(K66="","",K66*(1-Assumptions!$B$5)-$G66)</f>
        <v>164.49</v>
      </c>
      <c r="T66" s="25" t="str">
        <f aca="false">IF(P66="","",P66*$F66)</f>
        <v/>
      </c>
      <c r="U66" s="25" t="str">
        <f aca="false">IF(Q66="","",Q66*$F66)</f>
        <v/>
      </c>
      <c r="V66" s="25" t="n">
        <f aca="false">IF(R66="","",R66*$F66)</f>
        <v>-57.5999999999967</v>
      </c>
      <c r="W66" s="25" t="n">
        <f aca="false">IF(S66="","",S66*$F66)</f>
        <v>47373.12</v>
      </c>
      <c r="X66" s="9" t="s">
        <v>279</v>
      </c>
      <c r="Y66" s="9" t="s">
        <v>231</v>
      </c>
      <c r="Z66" s="26" t="s">
        <v>212</v>
      </c>
    </row>
    <row r="67" customFormat="false" ht="15" hidden="false" customHeight="false" outlineLevel="0" collapsed="false">
      <c r="A67" s="13" t="n">
        <v>50352</v>
      </c>
      <c r="B67" s="14" t="s">
        <v>135</v>
      </c>
      <c r="C67" s="14" t="s">
        <v>74</v>
      </c>
      <c r="D67" s="13" t="s">
        <v>60</v>
      </c>
      <c r="E67" s="14" t="s">
        <v>42</v>
      </c>
      <c r="F67" s="15" t="n">
        <v>166</v>
      </c>
      <c r="G67" s="16" t="n">
        <f aca="false">'Auction Inventory'!L67</f>
        <v>178.5</v>
      </c>
      <c r="H67" s="13" t="n">
        <v>5</v>
      </c>
      <c r="I67" s="16" t="n">
        <v>178.3</v>
      </c>
      <c r="J67" s="16" t="n">
        <v>299.99</v>
      </c>
      <c r="K67" s="16" t="n">
        <v>342.99</v>
      </c>
      <c r="L67" s="13"/>
      <c r="M67" s="13"/>
      <c r="N67" s="16"/>
      <c r="O67" s="16"/>
      <c r="P67" s="27" t="str">
        <f aca="false">IF(N67="","",N67-$G67)</f>
        <v/>
      </c>
      <c r="Q67" s="27" t="str">
        <f aca="false">IF(O67="","",O67-$G67)</f>
        <v/>
      </c>
      <c r="R67" s="27" t="n">
        <f aca="false">IF(I67="","",I67*(1-Assumptions!$B$5)-$G67)</f>
        <v>-0.199999999999989</v>
      </c>
      <c r="S67" s="27" t="n">
        <f aca="false">IF(K67="","",K67*(1-Assumptions!$B$5)-$G67)</f>
        <v>164.49</v>
      </c>
      <c r="T67" s="27" t="str">
        <f aca="false">IF(P67="","",P67*$F67)</f>
        <v/>
      </c>
      <c r="U67" s="27" t="str">
        <f aca="false">IF(Q67="","",Q67*$F67)</f>
        <v/>
      </c>
      <c r="V67" s="27" t="n">
        <f aca="false">IF(R67="","",R67*$F67)</f>
        <v>-33.1999999999981</v>
      </c>
      <c r="W67" s="27" t="n">
        <f aca="false">IF(S67="","",S67*$F67)</f>
        <v>27305.34</v>
      </c>
      <c r="X67" s="14" t="s">
        <v>279</v>
      </c>
      <c r="Y67" s="14" t="s">
        <v>231</v>
      </c>
      <c r="Z67" s="28" t="s">
        <v>212</v>
      </c>
    </row>
    <row r="68" customFormat="false" ht="15" hidden="false" customHeight="false" outlineLevel="0" collapsed="false">
      <c r="A68" s="8" t="n">
        <v>50385</v>
      </c>
      <c r="B68" s="9" t="s">
        <v>140</v>
      </c>
      <c r="C68" s="9" t="s">
        <v>40</v>
      </c>
      <c r="D68" s="8" t="s">
        <v>53</v>
      </c>
      <c r="E68" s="9" t="s">
        <v>42</v>
      </c>
      <c r="F68" s="10" t="n">
        <v>20</v>
      </c>
      <c r="G68" s="11" t="n">
        <f aca="false">'Auction Inventory'!L68</f>
        <v>159.375</v>
      </c>
      <c r="H68" s="8" t="n">
        <v>1</v>
      </c>
      <c r="I68" s="11" t="n">
        <v>275</v>
      </c>
      <c r="J68" s="11" t="n">
        <v>275</v>
      </c>
      <c r="K68" s="11" t="n">
        <v>275</v>
      </c>
      <c r="L68" s="8"/>
      <c r="M68" s="8"/>
      <c r="N68" s="11"/>
      <c r="O68" s="11"/>
      <c r="P68" s="25" t="str">
        <f aca="false">IF(N68="","",N68-$G68)</f>
        <v/>
      </c>
      <c r="Q68" s="25" t="str">
        <f aca="false">IF(O68="","",O68-$G68)</f>
        <v/>
      </c>
      <c r="R68" s="25" t="n">
        <f aca="false">IF(I68="","",I68*(1-Assumptions!$B$5)-$G68)</f>
        <v>115.625</v>
      </c>
      <c r="S68" s="25" t="n">
        <f aca="false">IF(K68="","",K68*(1-Assumptions!$B$5)-$G68)</f>
        <v>115.625</v>
      </c>
      <c r="T68" s="25" t="str">
        <f aca="false">IF(P68="","",P68*$F68)</f>
        <v/>
      </c>
      <c r="U68" s="25" t="str">
        <f aca="false">IF(Q68="","",Q68*$F68)</f>
        <v/>
      </c>
      <c r="V68" s="25" t="n">
        <f aca="false">IF(R68="","",R68*$F68)</f>
        <v>2312.5</v>
      </c>
      <c r="W68" s="25" t="n">
        <f aca="false">IF(S68="","",S68*$F68)</f>
        <v>2312.5</v>
      </c>
      <c r="X68" s="9" t="s">
        <v>216</v>
      </c>
      <c r="Y68" s="9" t="s">
        <v>217</v>
      </c>
      <c r="Z68" s="26" t="s">
        <v>235</v>
      </c>
    </row>
    <row r="69" customFormat="false" ht="15" hidden="false" customHeight="false" outlineLevel="0" collapsed="false">
      <c r="A69" s="13" t="n">
        <v>50383</v>
      </c>
      <c r="B69" s="14" t="s">
        <v>140</v>
      </c>
      <c r="C69" s="14" t="s">
        <v>74</v>
      </c>
      <c r="D69" s="13" t="s">
        <v>48</v>
      </c>
      <c r="E69" s="14" t="s">
        <v>57</v>
      </c>
      <c r="F69" s="15" t="n">
        <v>20</v>
      </c>
      <c r="G69" s="16" t="n">
        <f aca="false">'Auction Inventory'!L69</f>
        <v>184.875</v>
      </c>
      <c r="H69" s="13" t="n">
        <v>23</v>
      </c>
      <c r="I69" s="16" t="n">
        <v>119</v>
      </c>
      <c r="J69" s="16" t="n">
        <v>205</v>
      </c>
      <c r="K69" s="16" t="n">
        <v>599.99</v>
      </c>
      <c r="L69" s="13"/>
      <c r="M69" s="13"/>
      <c r="N69" s="16"/>
      <c r="O69" s="16"/>
      <c r="P69" s="27" t="str">
        <f aca="false">IF(N69="","",N69-$G69)</f>
        <v/>
      </c>
      <c r="Q69" s="27" t="str">
        <f aca="false">IF(O69="","",O69-$G69)</f>
        <v/>
      </c>
      <c r="R69" s="27" t="n">
        <f aca="false">IF(I69="","",I69*(1-Assumptions!$B$5)-$G69)</f>
        <v>-65.875</v>
      </c>
      <c r="S69" s="27" t="n">
        <f aca="false">IF(K69="","",K69*(1-Assumptions!$B$5)-$G69)</f>
        <v>415.115</v>
      </c>
      <c r="T69" s="27" t="str">
        <f aca="false">IF(P69="","",P69*$F69)</f>
        <v/>
      </c>
      <c r="U69" s="27" t="str">
        <f aca="false">IF(Q69="","",Q69*$F69)</f>
        <v/>
      </c>
      <c r="V69" s="27" t="n">
        <f aca="false">IF(R69="","",R69*$F69)</f>
        <v>-1317.5</v>
      </c>
      <c r="W69" s="27" t="n">
        <f aca="false">IF(S69="","",S69*$F69)</f>
        <v>8302.3</v>
      </c>
      <c r="X69" s="14" t="s">
        <v>280</v>
      </c>
      <c r="Y69" s="14" t="s">
        <v>281</v>
      </c>
      <c r="Z69" s="28" t="s">
        <v>222</v>
      </c>
    </row>
    <row r="70" customFormat="false" ht="15" hidden="false" customHeight="false" outlineLevel="0" collapsed="false">
      <c r="A70" s="8" t="n">
        <v>50390</v>
      </c>
      <c r="B70" s="9" t="s">
        <v>140</v>
      </c>
      <c r="C70" s="9" t="s">
        <v>74</v>
      </c>
      <c r="D70" s="8" t="s">
        <v>48</v>
      </c>
      <c r="E70" s="9" t="s">
        <v>49</v>
      </c>
      <c r="F70" s="10" t="n">
        <v>20</v>
      </c>
      <c r="G70" s="11" t="n">
        <f aca="false">'Auction Inventory'!L70</f>
        <v>187.425</v>
      </c>
      <c r="H70" s="8" t="n">
        <v>23</v>
      </c>
      <c r="I70" s="11" t="n">
        <v>119</v>
      </c>
      <c r="J70" s="11" t="n">
        <v>205</v>
      </c>
      <c r="K70" s="11" t="n">
        <v>599.99</v>
      </c>
      <c r="L70" s="8"/>
      <c r="M70" s="8"/>
      <c r="N70" s="11"/>
      <c r="O70" s="11"/>
      <c r="P70" s="25" t="str">
        <f aca="false">IF(N70="","",N70-$G70)</f>
        <v/>
      </c>
      <c r="Q70" s="25" t="str">
        <f aca="false">IF(O70="","",O70-$G70)</f>
        <v/>
      </c>
      <c r="R70" s="25" t="n">
        <f aca="false">IF(I70="","",I70*(1-Assumptions!$B$5)-$G70)</f>
        <v>-68.425</v>
      </c>
      <c r="S70" s="25" t="n">
        <f aca="false">IF(K70="","",K70*(1-Assumptions!$B$5)-$G70)</f>
        <v>412.565</v>
      </c>
      <c r="T70" s="25" t="str">
        <f aca="false">IF(P70="","",P70*$F70)</f>
        <v/>
      </c>
      <c r="U70" s="25" t="str">
        <f aca="false">IF(Q70="","",Q70*$F70)</f>
        <v/>
      </c>
      <c r="V70" s="25" t="n">
        <f aca="false">IF(R70="","",R70*$F70)</f>
        <v>-1368.5</v>
      </c>
      <c r="W70" s="25" t="n">
        <f aca="false">IF(S70="","",S70*$F70)</f>
        <v>8251.3</v>
      </c>
      <c r="X70" s="9" t="s">
        <v>280</v>
      </c>
      <c r="Y70" s="9" t="s">
        <v>281</v>
      </c>
      <c r="Z70" s="26"/>
    </row>
    <row r="71" customFormat="false" ht="15" hidden="false" customHeight="false" outlineLevel="0" collapsed="false">
      <c r="A71" s="13" t="n">
        <v>50338</v>
      </c>
      <c r="B71" s="14" t="s">
        <v>140</v>
      </c>
      <c r="C71" s="14" t="s">
        <v>74</v>
      </c>
      <c r="D71" s="13" t="s">
        <v>53</v>
      </c>
      <c r="E71" s="14" t="s">
        <v>42</v>
      </c>
      <c r="F71" s="15" t="n">
        <v>279</v>
      </c>
      <c r="G71" s="16" t="n">
        <f aca="false">'Auction Inventory'!L71</f>
        <v>153</v>
      </c>
      <c r="H71" s="13" t="n">
        <v>23</v>
      </c>
      <c r="I71" s="16" t="n">
        <v>119</v>
      </c>
      <c r="J71" s="16" t="n">
        <v>205</v>
      </c>
      <c r="K71" s="16" t="n">
        <v>599.99</v>
      </c>
      <c r="L71" s="13"/>
      <c r="M71" s="13"/>
      <c r="N71" s="16"/>
      <c r="O71" s="16"/>
      <c r="P71" s="27" t="str">
        <f aca="false">IF(N71="","",N71-$G71)</f>
        <v/>
      </c>
      <c r="Q71" s="27" t="str">
        <f aca="false">IF(O71="","",O71-$G71)</f>
        <v/>
      </c>
      <c r="R71" s="27" t="n">
        <f aca="false">IF(I71="","",I71*(1-Assumptions!$B$5)-$G71)</f>
        <v>-34</v>
      </c>
      <c r="S71" s="27" t="n">
        <f aca="false">IF(K71="","",K71*(1-Assumptions!$B$5)-$G71)</f>
        <v>446.99</v>
      </c>
      <c r="T71" s="27" t="str">
        <f aca="false">IF(P71="","",P71*$F71)</f>
        <v/>
      </c>
      <c r="U71" s="27" t="str">
        <f aca="false">IF(Q71="","",Q71*$F71)</f>
        <v/>
      </c>
      <c r="V71" s="27" t="n">
        <f aca="false">IF(R71="","",R71*$F71)</f>
        <v>-9486</v>
      </c>
      <c r="W71" s="27" t="n">
        <f aca="false">IF(S71="","",S71*$F71)</f>
        <v>124710.21</v>
      </c>
      <c r="X71" s="14" t="s">
        <v>282</v>
      </c>
      <c r="Y71" s="14" t="s">
        <v>281</v>
      </c>
      <c r="Z71" s="28" t="s">
        <v>212</v>
      </c>
    </row>
    <row r="72" customFormat="false" ht="15" hidden="false" customHeight="false" outlineLevel="0" collapsed="false">
      <c r="A72" s="8" t="n">
        <v>50330</v>
      </c>
      <c r="B72" s="9" t="s">
        <v>140</v>
      </c>
      <c r="C72" s="9" t="s">
        <v>74</v>
      </c>
      <c r="D72" s="8" t="s">
        <v>60</v>
      </c>
      <c r="E72" s="9" t="s">
        <v>42</v>
      </c>
      <c r="F72" s="10" t="n">
        <v>457</v>
      </c>
      <c r="G72" s="11" t="n">
        <f aca="false">'Auction Inventory'!L72</f>
        <v>142.8</v>
      </c>
      <c r="H72" s="8" t="n">
        <v>22</v>
      </c>
      <c r="I72" s="11" t="n">
        <v>119</v>
      </c>
      <c r="J72" s="11" t="n">
        <v>202.5</v>
      </c>
      <c r="K72" s="11" t="n">
        <v>599.99</v>
      </c>
      <c r="L72" s="8"/>
      <c r="M72" s="8"/>
      <c r="N72" s="11"/>
      <c r="O72" s="11"/>
      <c r="P72" s="25" t="str">
        <f aca="false">IF(N72="","",N72-$G72)</f>
        <v/>
      </c>
      <c r="Q72" s="25" t="str">
        <f aca="false">IF(O72="","",O72-$G72)</f>
        <v/>
      </c>
      <c r="R72" s="25" t="n">
        <f aca="false">IF(I72="","",I72*(1-Assumptions!$B$5)-$G72)</f>
        <v>-23.8</v>
      </c>
      <c r="S72" s="25" t="n">
        <f aca="false">IF(K72="","",K72*(1-Assumptions!$B$5)-$G72)</f>
        <v>457.19</v>
      </c>
      <c r="T72" s="25" t="str">
        <f aca="false">IF(P72="","",P72*$F72)</f>
        <v/>
      </c>
      <c r="U72" s="25" t="str">
        <f aca="false">IF(Q72="","",Q72*$F72)</f>
        <v/>
      </c>
      <c r="V72" s="25" t="n">
        <f aca="false">IF(R72="","",R72*$F72)</f>
        <v>-10876.6</v>
      </c>
      <c r="W72" s="25" t="n">
        <f aca="false">IF(S72="","",S72*$F72)</f>
        <v>208935.83</v>
      </c>
      <c r="X72" s="9" t="s">
        <v>283</v>
      </c>
      <c r="Y72" s="9" t="s">
        <v>284</v>
      </c>
      <c r="Z72" s="26" t="s">
        <v>212</v>
      </c>
    </row>
    <row r="73" customFormat="false" ht="15" hidden="false" customHeight="false" outlineLevel="0" collapsed="false">
      <c r="A73" s="13" t="n">
        <v>50388</v>
      </c>
      <c r="B73" s="14" t="s">
        <v>146</v>
      </c>
      <c r="C73" s="14" t="s">
        <v>40</v>
      </c>
      <c r="D73" s="13" t="s">
        <v>53</v>
      </c>
      <c r="E73" s="14" t="s">
        <v>42</v>
      </c>
      <c r="F73" s="15" t="n">
        <v>20</v>
      </c>
      <c r="G73" s="16" t="n">
        <f aca="false">'Auction Inventory'!L73</f>
        <v>107.1</v>
      </c>
      <c r="H73" s="13" t="n">
        <v>2</v>
      </c>
      <c r="I73" s="16" t="n">
        <v>400</v>
      </c>
      <c r="J73" s="16" t="n">
        <v>400</v>
      </c>
      <c r="K73" s="16" t="n">
        <v>400</v>
      </c>
      <c r="L73" s="13"/>
      <c r="M73" s="13"/>
      <c r="N73" s="16"/>
      <c r="O73" s="16"/>
      <c r="P73" s="27" t="str">
        <f aca="false">IF(N73="","",N73-$G73)</f>
        <v/>
      </c>
      <c r="Q73" s="27" t="str">
        <f aca="false">IF(O73="","",O73-$G73)</f>
        <v/>
      </c>
      <c r="R73" s="27" t="n">
        <f aca="false">IF(I73="","",I73*(1-Assumptions!$B$5)-$G73)</f>
        <v>292.9</v>
      </c>
      <c r="S73" s="27" t="n">
        <f aca="false">IF(K73="","",K73*(1-Assumptions!$B$5)-$G73)</f>
        <v>292.9</v>
      </c>
      <c r="T73" s="27" t="str">
        <f aca="false">IF(P73="","",P73*$F73)</f>
        <v/>
      </c>
      <c r="U73" s="27" t="str">
        <f aca="false">IF(Q73="","",Q73*$F73)</f>
        <v/>
      </c>
      <c r="V73" s="27" t="n">
        <f aca="false">IF(R73="","",R73*$F73)</f>
        <v>5858</v>
      </c>
      <c r="W73" s="27" t="n">
        <f aca="false">IF(S73="","",S73*$F73)</f>
        <v>5858</v>
      </c>
      <c r="X73" s="14" t="s">
        <v>285</v>
      </c>
      <c r="Y73" s="14" t="s">
        <v>239</v>
      </c>
      <c r="Z73" s="28" t="s">
        <v>240</v>
      </c>
    </row>
    <row r="74" customFormat="false" ht="15" hidden="false" customHeight="false" outlineLevel="0" collapsed="false">
      <c r="A74" s="8" t="n">
        <v>50384</v>
      </c>
      <c r="B74" s="9" t="s">
        <v>146</v>
      </c>
      <c r="C74" s="9" t="s">
        <v>74</v>
      </c>
      <c r="D74" s="8" t="s">
        <v>48</v>
      </c>
      <c r="E74" s="9" t="s">
        <v>42</v>
      </c>
      <c r="F74" s="10" t="n">
        <v>20</v>
      </c>
      <c r="G74" s="11" t="n">
        <f aca="false">'Auction Inventory'!L74</f>
        <v>127.5</v>
      </c>
      <c r="H74" s="8" t="n">
        <v>7</v>
      </c>
      <c r="I74" s="11" t="n">
        <v>123</v>
      </c>
      <c r="J74" s="11" t="n">
        <v>169.99</v>
      </c>
      <c r="K74" s="11" t="n">
        <v>228.99</v>
      </c>
      <c r="L74" s="8"/>
      <c r="M74" s="8"/>
      <c r="N74" s="11"/>
      <c r="O74" s="11"/>
      <c r="P74" s="25" t="str">
        <f aca="false">IF(N74="","",N74-$G74)</f>
        <v/>
      </c>
      <c r="Q74" s="25" t="str">
        <f aca="false">IF(O74="","",O74-$G74)</f>
        <v/>
      </c>
      <c r="R74" s="25" t="n">
        <f aca="false">IF(I74="","",I74*(1-Assumptions!$B$5)-$G74)</f>
        <v>-4.5</v>
      </c>
      <c r="S74" s="25" t="n">
        <f aca="false">IF(K74="","",K74*(1-Assumptions!$B$5)-$G74)</f>
        <v>101.49</v>
      </c>
      <c r="T74" s="25" t="str">
        <f aca="false">IF(P74="","",P74*$F74)</f>
        <v/>
      </c>
      <c r="U74" s="25" t="str">
        <f aca="false">IF(Q74="","",Q74*$F74)</f>
        <v/>
      </c>
      <c r="V74" s="25" t="n">
        <f aca="false">IF(R74="","",R74*$F74)</f>
        <v>-90</v>
      </c>
      <c r="W74" s="25" t="n">
        <f aca="false">IF(S74="","",S74*$F74)</f>
        <v>2029.8</v>
      </c>
      <c r="X74" s="9" t="s">
        <v>271</v>
      </c>
      <c r="Y74" s="9" t="s">
        <v>286</v>
      </c>
      <c r="Z74" s="26" t="s">
        <v>212</v>
      </c>
    </row>
    <row r="75" customFormat="false" ht="15" hidden="false" customHeight="false" outlineLevel="0" collapsed="false">
      <c r="A75" s="13" t="n">
        <v>50342</v>
      </c>
      <c r="B75" s="14" t="s">
        <v>146</v>
      </c>
      <c r="C75" s="14" t="s">
        <v>74</v>
      </c>
      <c r="D75" s="13" t="s">
        <v>60</v>
      </c>
      <c r="E75" s="14" t="s">
        <v>42</v>
      </c>
      <c r="F75" s="15" t="n">
        <v>265</v>
      </c>
      <c r="G75" s="16" t="n">
        <f aca="false">'Auction Inventory'!L75</f>
        <v>102</v>
      </c>
      <c r="H75" s="13" t="n">
        <v>7</v>
      </c>
      <c r="I75" s="16" t="n">
        <v>123</v>
      </c>
      <c r="J75" s="16" t="n">
        <v>169.99</v>
      </c>
      <c r="K75" s="16" t="n">
        <v>228.99</v>
      </c>
      <c r="L75" s="13"/>
      <c r="M75" s="13"/>
      <c r="N75" s="16"/>
      <c r="O75" s="16"/>
      <c r="P75" s="27" t="str">
        <f aca="false">IF(N75="","",N75-$G75)</f>
        <v/>
      </c>
      <c r="Q75" s="27" t="str">
        <f aca="false">IF(O75="","",O75-$G75)</f>
        <v/>
      </c>
      <c r="R75" s="27" t="n">
        <f aca="false">IF(I75="","",I75*(1-Assumptions!$B$5)-$G75)</f>
        <v>21</v>
      </c>
      <c r="S75" s="27" t="n">
        <f aca="false">IF(K75="","",K75*(1-Assumptions!$B$5)-$G75)</f>
        <v>126.99</v>
      </c>
      <c r="T75" s="27" t="str">
        <f aca="false">IF(P75="","",P75*$F75)</f>
        <v/>
      </c>
      <c r="U75" s="27" t="str">
        <f aca="false">IF(Q75="","",Q75*$F75)</f>
        <v/>
      </c>
      <c r="V75" s="27" t="n">
        <f aca="false">IF(R75="","",R75*$F75)</f>
        <v>5565</v>
      </c>
      <c r="W75" s="27" t="n">
        <f aca="false">IF(S75="","",S75*$F75)</f>
        <v>33652.35</v>
      </c>
      <c r="X75" s="14" t="s">
        <v>271</v>
      </c>
      <c r="Y75" s="14" t="s">
        <v>286</v>
      </c>
      <c r="Z75" s="28" t="s">
        <v>212</v>
      </c>
    </row>
    <row r="76" customFormat="false" ht="15" hidden="false" customHeight="false" outlineLevel="0" collapsed="false">
      <c r="A76" s="8" t="n">
        <v>50382</v>
      </c>
      <c r="B76" s="9" t="s">
        <v>150</v>
      </c>
      <c r="C76" s="9" t="s">
        <v>47</v>
      </c>
      <c r="D76" s="8" t="s">
        <v>53</v>
      </c>
      <c r="E76" s="9" t="s">
        <v>42</v>
      </c>
      <c r="F76" s="10" t="n">
        <v>20</v>
      </c>
      <c r="G76" s="11" t="n">
        <f aca="false">'Auction Inventory'!L76</f>
        <v>240.975</v>
      </c>
      <c r="H76" s="8" t="n">
        <v>3</v>
      </c>
      <c r="I76" s="11" t="n">
        <v>200</v>
      </c>
      <c r="J76" s="11" t="n">
        <v>250</v>
      </c>
      <c r="K76" s="11" t="n">
        <v>295</v>
      </c>
      <c r="L76" s="8"/>
      <c r="M76" s="8"/>
      <c r="N76" s="11"/>
      <c r="O76" s="11"/>
      <c r="P76" s="25" t="str">
        <f aca="false">IF(N76="","",N76-$G76)</f>
        <v/>
      </c>
      <c r="Q76" s="25" t="str">
        <f aca="false">IF(O76="","",O76-$G76)</f>
        <v/>
      </c>
      <c r="R76" s="25" t="n">
        <f aca="false">IF(I76="","",I76*(1-Assumptions!$B$5)-$G76)</f>
        <v>-40.975</v>
      </c>
      <c r="S76" s="25" t="n">
        <f aca="false">IF(K76="","",K76*(1-Assumptions!$B$5)-$G76)</f>
        <v>54.025</v>
      </c>
      <c r="T76" s="25" t="str">
        <f aca="false">IF(P76="","",P76*$F76)</f>
        <v/>
      </c>
      <c r="U76" s="25" t="str">
        <f aca="false">IF(Q76="","",Q76*$F76)</f>
        <v/>
      </c>
      <c r="V76" s="25" t="n">
        <f aca="false">IF(R76="","",R76*$F76)</f>
        <v>-819.5</v>
      </c>
      <c r="W76" s="25" t="n">
        <f aca="false">IF(S76="","",S76*$F76)</f>
        <v>1080.5</v>
      </c>
      <c r="X76" s="9" t="s">
        <v>237</v>
      </c>
      <c r="Y76" s="9" t="s">
        <v>211</v>
      </c>
      <c r="Z76" s="26" t="s">
        <v>212</v>
      </c>
    </row>
    <row r="77" customFormat="false" ht="15" hidden="false" customHeight="false" outlineLevel="0" collapsed="false">
      <c r="A77" s="13" t="n">
        <v>50336</v>
      </c>
      <c r="B77" s="14" t="s">
        <v>150</v>
      </c>
      <c r="C77" s="14" t="s">
        <v>74</v>
      </c>
      <c r="D77" s="13" t="s">
        <v>60</v>
      </c>
      <c r="E77" s="14" t="s">
        <v>42</v>
      </c>
      <c r="F77" s="15" t="n">
        <v>308</v>
      </c>
      <c r="G77" s="16" t="n">
        <f aca="false">'Auction Inventory'!L77</f>
        <v>186.282467532468</v>
      </c>
      <c r="H77" s="13" t="n">
        <v>6</v>
      </c>
      <c r="I77" s="16" t="n">
        <v>157.5</v>
      </c>
      <c r="J77" s="16" t="n">
        <v>250</v>
      </c>
      <c r="K77" s="16" t="n">
        <v>350</v>
      </c>
      <c r="L77" s="13"/>
      <c r="M77" s="13"/>
      <c r="N77" s="16"/>
      <c r="O77" s="16"/>
      <c r="P77" s="27" t="str">
        <f aca="false">IF(N77="","",N77-$G77)</f>
        <v/>
      </c>
      <c r="Q77" s="27" t="str">
        <f aca="false">IF(O77="","",O77-$G77)</f>
        <v/>
      </c>
      <c r="R77" s="27" t="n">
        <f aca="false">IF(I77="","",I77*(1-Assumptions!$B$5)-$G77)</f>
        <v>-28.7824675324675</v>
      </c>
      <c r="S77" s="27" t="n">
        <f aca="false">IF(K77="","",K77*(1-Assumptions!$B$5)-$G77)</f>
        <v>163.717532467532</v>
      </c>
      <c r="T77" s="27" t="str">
        <f aca="false">IF(P77="","",P77*$F77)</f>
        <v/>
      </c>
      <c r="U77" s="27" t="str">
        <f aca="false">IF(Q77="","",Q77*$F77)</f>
        <v/>
      </c>
      <c r="V77" s="27" t="n">
        <f aca="false">IF(R77="","",R77*$F77)</f>
        <v>-8865</v>
      </c>
      <c r="W77" s="27" t="n">
        <f aca="false">IF(S77="","",S77*$F77)</f>
        <v>50425</v>
      </c>
      <c r="X77" s="14" t="s">
        <v>223</v>
      </c>
      <c r="Y77" s="14" t="s">
        <v>287</v>
      </c>
      <c r="Z77" s="28" t="s">
        <v>212</v>
      </c>
    </row>
    <row r="78" customFormat="false" ht="15" hidden="false" customHeight="false" outlineLevel="0" collapsed="false">
      <c r="A78" s="8" t="n">
        <v>50389</v>
      </c>
      <c r="B78" s="9" t="s">
        <v>153</v>
      </c>
      <c r="C78" s="9" t="s">
        <v>154</v>
      </c>
      <c r="D78" s="8" t="s">
        <v>48</v>
      </c>
      <c r="E78" s="9" t="s">
        <v>42</v>
      </c>
      <c r="F78" s="10" t="n">
        <v>20</v>
      </c>
      <c r="G78" s="11" t="n">
        <f aca="false">'Auction Inventory'!L78</f>
        <v>154.275</v>
      </c>
      <c r="H78" s="8" t="n">
        <v>25</v>
      </c>
      <c r="I78" s="11" t="n">
        <v>84.99</v>
      </c>
      <c r="J78" s="11" t="n">
        <v>144.99</v>
      </c>
      <c r="K78" s="11" t="n">
        <v>196.99</v>
      </c>
      <c r="L78" s="8"/>
      <c r="M78" s="8"/>
      <c r="N78" s="11"/>
      <c r="O78" s="11"/>
      <c r="P78" s="25" t="str">
        <f aca="false">IF(N78="","",N78-$G78)</f>
        <v/>
      </c>
      <c r="Q78" s="25" t="str">
        <f aca="false">IF(O78="","",O78-$G78)</f>
        <v/>
      </c>
      <c r="R78" s="25" t="n">
        <f aca="false">IF(I78="","",I78*(1-Assumptions!$B$5)-$G78)</f>
        <v>-69.285</v>
      </c>
      <c r="S78" s="25" t="n">
        <f aca="false">IF(K78="","",K78*(1-Assumptions!$B$5)-$G78)</f>
        <v>42.715</v>
      </c>
      <c r="T78" s="25" t="str">
        <f aca="false">IF(P78="","",P78*$F78)</f>
        <v/>
      </c>
      <c r="U78" s="25" t="str">
        <f aca="false">IF(Q78="","",Q78*$F78)</f>
        <v/>
      </c>
      <c r="V78" s="25" t="n">
        <f aca="false">IF(R78="","",R78*$F78)</f>
        <v>-1385.7</v>
      </c>
      <c r="W78" s="25" t="n">
        <f aca="false">IF(S78="","",S78*$F78)</f>
        <v>854.3</v>
      </c>
      <c r="X78" s="9" t="s">
        <v>288</v>
      </c>
      <c r="Y78" s="9" t="s">
        <v>289</v>
      </c>
      <c r="Z78" s="26" t="s">
        <v>212</v>
      </c>
    </row>
    <row r="79" customFormat="false" ht="15" hidden="false" customHeight="false" outlineLevel="0" collapsed="false">
      <c r="A79" s="13" t="n">
        <v>50333</v>
      </c>
      <c r="B79" s="14" t="s">
        <v>153</v>
      </c>
      <c r="C79" s="14" t="s">
        <v>154</v>
      </c>
      <c r="D79" s="13" t="s">
        <v>60</v>
      </c>
      <c r="E79" s="14" t="s">
        <v>42</v>
      </c>
      <c r="F79" s="15" t="n">
        <v>418</v>
      </c>
      <c r="G79" s="16" t="n">
        <f aca="false">'Auction Inventory'!L79</f>
        <v>86.7</v>
      </c>
      <c r="H79" s="13" t="n">
        <v>21</v>
      </c>
      <c r="I79" s="16" t="n">
        <v>84.99</v>
      </c>
      <c r="J79" s="16" t="n">
        <v>140.3</v>
      </c>
      <c r="K79" s="16" t="n">
        <v>159.99</v>
      </c>
      <c r="L79" s="13"/>
      <c r="M79" s="13"/>
      <c r="N79" s="16"/>
      <c r="O79" s="16"/>
      <c r="P79" s="27" t="str">
        <f aca="false">IF(N79="","",N79-$G79)</f>
        <v/>
      </c>
      <c r="Q79" s="27" t="str">
        <f aca="false">IF(O79="","",O79-$G79)</f>
        <v/>
      </c>
      <c r="R79" s="27" t="n">
        <f aca="false">IF(I79="","",I79*(1-Assumptions!$B$5)-$G79)</f>
        <v>-1.71000000000001</v>
      </c>
      <c r="S79" s="27" t="n">
        <f aca="false">IF(K79="","",K79*(1-Assumptions!$B$5)-$G79)</f>
        <v>73.29</v>
      </c>
      <c r="T79" s="27" t="str">
        <f aca="false">IF(P79="","",P79*$F79)</f>
        <v/>
      </c>
      <c r="U79" s="27" t="str">
        <f aca="false">IF(Q79="","",Q79*$F79)</f>
        <v/>
      </c>
      <c r="V79" s="27" t="n">
        <f aca="false">IF(R79="","",R79*$F79)</f>
        <v>-714.780000000003</v>
      </c>
      <c r="W79" s="27" t="n">
        <f aca="false">IF(S79="","",S79*$F79)</f>
        <v>30635.22</v>
      </c>
      <c r="X79" s="14" t="s">
        <v>290</v>
      </c>
      <c r="Y79" s="14" t="s">
        <v>291</v>
      </c>
      <c r="Z79" s="28" t="s">
        <v>212</v>
      </c>
    </row>
    <row r="80" customFormat="false" ht="15" hidden="false" customHeight="false" outlineLevel="0" collapsed="false">
      <c r="A80" s="8" t="n">
        <v>50378</v>
      </c>
      <c r="B80" s="9" t="s">
        <v>157</v>
      </c>
      <c r="C80" s="9" t="s">
        <v>74</v>
      </c>
      <c r="D80" s="8" t="s">
        <v>53</v>
      </c>
      <c r="E80" s="9" t="s">
        <v>42</v>
      </c>
      <c r="F80" s="10" t="n">
        <v>20</v>
      </c>
      <c r="G80" s="11" t="n">
        <f aca="false">'Auction Inventory'!L80</f>
        <v>66.3</v>
      </c>
      <c r="H80" s="8" t="n">
        <v>1</v>
      </c>
      <c r="I80" s="11" t="n">
        <v>160.64</v>
      </c>
      <c r="J80" s="11" t="n">
        <v>160.64</v>
      </c>
      <c r="K80" s="11" t="n">
        <v>160.64</v>
      </c>
      <c r="L80" s="8"/>
      <c r="M80" s="8"/>
      <c r="N80" s="11"/>
      <c r="O80" s="11"/>
      <c r="P80" s="25" t="str">
        <f aca="false">IF(N80="","",N80-$G80)</f>
        <v/>
      </c>
      <c r="Q80" s="25" t="str">
        <f aca="false">IF(O80="","",O80-$G80)</f>
        <v/>
      </c>
      <c r="R80" s="25" t="n">
        <f aca="false">IF(I80="","",I80*(1-Assumptions!$B$5)-$G80)</f>
        <v>94.34</v>
      </c>
      <c r="S80" s="25" t="n">
        <f aca="false">IF(K80="","",K80*(1-Assumptions!$B$5)-$G80)</f>
        <v>94.34</v>
      </c>
      <c r="T80" s="25" t="str">
        <f aca="false">IF(P80="","",P80*$F80)</f>
        <v/>
      </c>
      <c r="U80" s="25" t="str">
        <f aca="false">IF(Q80="","",Q80*$F80)</f>
        <v/>
      </c>
      <c r="V80" s="25" t="n">
        <f aca="false">IF(R80="","",R80*$F80)</f>
        <v>1886.8</v>
      </c>
      <c r="W80" s="25" t="n">
        <f aca="false">IF(S80="","",S80*$F80)</f>
        <v>1886.8</v>
      </c>
      <c r="X80" s="9" t="s">
        <v>216</v>
      </c>
      <c r="Y80" s="9" t="s">
        <v>217</v>
      </c>
      <c r="Z80" s="26" t="s">
        <v>235</v>
      </c>
    </row>
    <row r="81" customFormat="false" ht="15" hidden="false" customHeight="false" outlineLevel="0" collapsed="false">
      <c r="A81" s="13" t="n">
        <v>50381</v>
      </c>
      <c r="B81" s="14" t="s">
        <v>159</v>
      </c>
      <c r="C81" s="14" t="s">
        <v>40</v>
      </c>
      <c r="D81" s="13" t="s">
        <v>60</v>
      </c>
      <c r="E81" s="14" t="s">
        <v>42</v>
      </c>
      <c r="F81" s="15" t="n">
        <v>20</v>
      </c>
      <c r="G81" s="16" t="n">
        <f aca="false">'Auction Inventory'!L81</f>
        <v>117.3</v>
      </c>
      <c r="H81" s="13"/>
      <c r="I81" s="16"/>
      <c r="J81" s="16"/>
      <c r="K81" s="16"/>
      <c r="L81" s="13"/>
      <c r="M81" s="13"/>
      <c r="N81" s="16"/>
      <c r="O81" s="16"/>
      <c r="P81" s="27" t="str">
        <f aca="false">IF(N81="","",N81-$G81)</f>
        <v/>
      </c>
      <c r="Q81" s="27" t="str">
        <f aca="false">IF(O81="","",O81-$G81)</f>
        <v/>
      </c>
      <c r="R81" s="27" t="str">
        <f aca="false">IF(I81="","",I81*(1-Assumptions!$B$5)-$G81)</f>
        <v/>
      </c>
      <c r="S81" s="27" t="str">
        <f aca="false">IF(K81="","",K81*(1-Assumptions!$B$5)-$G81)</f>
        <v/>
      </c>
      <c r="T81" s="27" t="str">
        <f aca="false">IF(P81="","",P81*$F81)</f>
        <v/>
      </c>
      <c r="U81" s="27" t="str">
        <f aca="false">IF(Q81="","",Q81*$F81)</f>
        <v/>
      </c>
      <c r="V81" s="27" t="str">
        <f aca="false">IF(R81="","",R81*$F81)</f>
        <v/>
      </c>
      <c r="W81" s="27" t="str">
        <f aca="false">IF(S81="","",S81*$F81)</f>
        <v/>
      </c>
      <c r="X81" s="14"/>
      <c r="Y81" s="14"/>
      <c r="Z81" s="28" t="s">
        <v>219</v>
      </c>
    </row>
    <row r="82" customFormat="false" ht="15" hidden="false" customHeight="false" outlineLevel="0" collapsed="false">
      <c r="A82" s="8" t="n">
        <v>50377</v>
      </c>
      <c r="B82" s="9" t="s">
        <v>159</v>
      </c>
      <c r="C82" s="9" t="s">
        <v>47</v>
      </c>
      <c r="D82" s="8" t="s">
        <v>53</v>
      </c>
      <c r="E82" s="9" t="s">
        <v>42</v>
      </c>
      <c r="F82" s="10" t="n">
        <v>20</v>
      </c>
      <c r="G82" s="11" t="n">
        <f aca="false">'Auction Inventory'!L82</f>
        <v>128.775</v>
      </c>
      <c r="H82" s="8" t="n">
        <v>3</v>
      </c>
      <c r="I82" s="11" t="n">
        <v>193.99</v>
      </c>
      <c r="J82" s="11" t="n">
        <v>199.95</v>
      </c>
      <c r="K82" s="11" t="n">
        <v>229.99</v>
      </c>
      <c r="L82" s="8"/>
      <c r="M82" s="8"/>
      <c r="N82" s="11"/>
      <c r="O82" s="11"/>
      <c r="P82" s="25" t="str">
        <f aca="false">IF(N82="","",N82-$G82)</f>
        <v/>
      </c>
      <c r="Q82" s="25" t="str">
        <f aca="false">IF(O82="","",O82-$G82)</f>
        <v/>
      </c>
      <c r="R82" s="25" t="n">
        <f aca="false">IF(I82="","",I82*(1-Assumptions!$B$5)-$G82)</f>
        <v>65.215</v>
      </c>
      <c r="S82" s="25" t="n">
        <f aca="false">IF(K82="","",K82*(1-Assumptions!$B$5)-$G82)</f>
        <v>101.215</v>
      </c>
      <c r="T82" s="25" t="str">
        <f aca="false">IF(P82="","",P82*$F82)</f>
        <v/>
      </c>
      <c r="U82" s="25" t="str">
        <f aca="false">IF(Q82="","",Q82*$F82)</f>
        <v/>
      </c>
      <c r="V82" s="25" t="n">
        <f aca="false">IF(R82="","",R82*$F82)</f>
        <v>1304.3</v>
      </c>
      <c r="W82" s="25" t="n">
        <f aca="false">IF(S82="","",S82*$F82)</f>
        <v>2024.3</v>
      </c>
      <c r="X82" s="9" t="s">
        <v>237</v>
      </c>
      <c r="Y82" s="9" t="s">
        <v>211</v>
      </c>
      <c r="Z82" s="26" t="s">
        <v>212</v>
      </c>
    </row>
    <row r="83" customFormat="false" ht="15" hidden="false" customHeight="false" outlineLevel="0" collapsed="false">
      <c r="A83" s="13" t="n">
        <v>50376</v>
      </c>
      <c r="B83" s="14" t="s">
        <v>162</v>
      </c>
      <c r="C83" s="14" t="s">
        <v>154</v>
      </c>
      <c r="D83" s="13" t="s">
        <v>53</v>
      </c>
      <c r="E83" s="14" t="s">
        <v>42</v>
      </c>
      <c r="F83" s="15" t="n">
        <v>20</v>
      </c>
      <c r="G83" s="16" t="n">
        <f aca="false">'Auction Inventory'!L83</f>
        <v>113.475</v>
      </c>
      <c r="H83" s="13"/>
      <c r="I83" s="16"/>
      <c r="J83" s="16"/>
      <c r="K83" s="16"/>
      <c r="L83" s="13"/>
      <c r="M83" s="13"/>
      <c r="N83" s="16"/>
      <c r="O83" s="16"/>
      <c r="P83" s="27" t="str">
        <f aca="false">IF(N83="","",N83-$G83)</f>
        <v/>
      </c>
      <c r="Q83" s="27" t="str">
        <f aca="false">IF(O83="","",O83-$G83)</f>
        <v/>
      </c>
      <c r="R83" s="27" t="str">
        <f aca="false">IF(I83="","",I83*(1-Assumptions!$B$5)-$G83)</f>
        <v/>
      </c>
      <c r="S83" s="27" t="str">
        <f aca="false">IF(K83="","",K83*(1-Assumptions!$B$5)-$G83)</f>
        <v/>
      </c>
      <c r="T83" s="27" t="str">
        <f aca="false">IF(P83="","",P83*$F83)</f>
        <v/>
      </c>
      <c r="U83" s="27" t="str">
        <f aca="false">IF(Q83="","",Q83*$F83)</f>
        <v/>
      </c>
      <c r="V83" s="27" t="str">
        <f aca="false">IF(R83="","",R83*$F83)</f>
        <v/>
      </c>
      <c r="W83" s="27" t="str">
        <f aca="false">IF(S83="","",S83*$F83)</f>
        <v/>
      </c>
      <c r="X83" s="14"/>
      <c r="Y83" s="14"/>
      <c r="Z83" s="28" t="s">
        <v>219</v>
      </c>
    </row>
    <row r="84" customFormat="false" ht="15" hidden="false" customHeight="false" outlineLevel="0" collapsed="false">
      <c r="A84" s="8" t="n">
        <v>50380</v>
      </c>
      <c r="B84" s="9" t="s">
        <v>162</v>
      </c>
      <c r="C84" s="9" t="s">
        <v>164</v>
      </c>
      <c r="D84" s="8" t="s">
        <v>60</v>
      </c>
      <c r="E84" s="9" t="s">
        <v>165</v>
      </c>
      <c r="F84" s="10" t="n">
        <v>20</v>
      </c>
      <c r="G84" s="11" t="n">
        <f aca="false">'Auction Inventory'!L84</f>
        <v>91.8</v>
      </c>
      <c r="H84" s="8"/>
      <c r="I84" s="11"/>
      <c r="J84" s="11"/>
      <c r="K84" s="11"/>
      <c r="L84" s="8"/>
      <c r="M84" s="8"/>
      <c r="N84" s="11"/>
      <c r="O84" s="11"/>
      <c r="P84" s="25" t="str">
        <f aca="false">IF(N84="","",N84-$G84)</f>
        <v/>
      </c>
      <c r="Q84" s="25" t="str">
        <f aca="false">IF(O84="","",O84-$G84)</f>
        <v/>
      </c>
      <c r="R84" s="25" t="str">
        <f aca="false">IF(I84="","",I84*(1-Assumptions!$B$5)-$G84)</f>
        <v/>
      </c>
      <c r="S84" s="25" t="str">
        <f aca="false">IF(K84="","",K84*(1-Assumptions!$B$5)-$G84)</f>
        <v/>
      </c>
      <c r="T84" s="25" t="str">
        <f aca="false">IF(P84="","",P84*$F84)</f>
        <v/>
      </c>
      <c r="U84" s="25" t="str">
        <f aca="false">IF(Q84="","",Q84*$F84)</f>
        <v/>
      </c>
      <c r="V84" s="25" t="str">
        <f aca="false">IF(R84="","",R84*$F84)</f>
        <v/>
      </c>
      <c r="W84" s="25" t="str">
        <f aca="false">IF(S84="","",S84*$F84)</f>
        <v/>
      </c>
      <c r="X84" s="9"/>
      <c r="Y84" s="9"/>
      <c r="Z84" s="26" t="s">
        <v>219</v>
      </c>
    </row>
    <row r="85" customFormat="false" ht="15" hidden="false" customHeight="false" outlineLevel="0" collapsed="false">
      <c r="A85" s="13" t="n">
        <v>50372</v>
      </c>
      <c r="B85" s="14" t="s">
        <v>167</v>
      </c>
      <c r="C85" s="14" t="s">
        <v>74</v>
      </c>
      <c r="D85" s="13" t="s">
        <v>53</v>
      </c>
      <c r="E85" s="14" t="s">
        <v>42</v>
      </c>
      <c r="F85" s="15" t="n">
        <v>20</v>
      </c>
      <c r="G85" s="16" t="n">
        <f aca="false">'Auction Inventory'!L85</f>
        <v>142.8</v>
      </c>
      <c r="H85" s="13" t="n">
        <v>5</v>
      </c>
      <c r="I85" s="16" t="n">
        <v>110</v>
      </c>
      <c r="J85" s="16" t="n">
        <v>127.5</v>
      </c>
      <c r="K85" s="16" t="n">
        <v>139.99</v>
      </c>
      <c r="L85" s="13"/>
      <c r="M85" s="13"/>
      <c r="N85" s="16"/>
      <c r="O85" s="16"/>
      <c r="P85" s="27" t="str">
        <f aca="false">IF(N85="","",N85-$G85)</f>
        <v/>
      </c>
      <c r="Q85" s="27" t="str">
        <f aca="false">IF(O85="","",O85-$G85)</f>
        <v/>
      </c>
      <c r="R85" s="27" t="n">
        <f aca="false">IF(I85="","",I85*(1-Assumptions!$B$5)-$G85)</f>
        <v>-32.8</v>
      </c>
      <c r="S85" s="27" t="n">
        <f aca="false">IF(K85="","",K85*(1-Assumptions!$B$5)-$G85)</f>
        <v>-2.81</v>
      </c>
      <c r="T85" s="27" t="str">
        <f aca="false">IF(P85="","",P85*$F85)</f>
        <v/>
      </c>
      <c r="U85" s="27" t="str">
        <f aca="false">IF(Q85="","",Q85*$F85)</f>
        <v/>
      </c>
      <c r="V85" s="27" t="n">
        <f aca="false">IF(R85="","",R85*$F85)</f>
        <v>-656</v>
      </c>
      <c r="W85" s="27" t="n">
        <f aca="false">IF(S85="","",S85*$F85)</f>
        <v>-56.2</v>
      </c>
      <c r="X85" s="14" t="s">
        <v>230</v>
      </c>
      <c r="Y85" s="14" t="s">
        <v>292</v>
      </c>
      <c r="Z85" s="28" t="s">
        <v>212</v>
      </c>
    </row>
    <row r="86" customFormat="false" ht="15" hidden="false" customHeight="false" outlineLevel="0" collapsed="false">
      <c r="A86" s="8" t="n">
        <v>50371</v>
      </c>
      <c r="B86" s="9" t="s">
        <v>167</v>
      </c>
      <c r="C86" s="9" t="s">
        <v>154</v>
      </c>
      <c r="D86" s="8" t="s">
        <v>53</v>
      </c>
      <c r="E86" s="9" t="s">
        <v>49</v>
      </c>
      <c r="F86" s="10" t="n">
        <v>20</v>
      </c>
      <c r="G86" s="11" t="n">
        <f aca="false">'Auction Inventory'!L86</f>
        <v>81.6</v>
      </c>
      <c r="H86" s="8" t="n">
        <v>12</v>
      </c>
      <c r="I86" s="11" t="n">
        <v>45</v>
      </c>
      <c r="J86" s="11" t="n">
        <v>118.44</v>
      </c>
      <c r="K86" s="11" t="n">
        <v>150</v>
      </c>
      <c r="L86" s="8"/>
      <c r="M86" s="8"/>
      <c r="N86" s="11"/>
      <c r="O86" s="11"/>
      <c r="P86" s="25" t="str">
        <f aca="false">IF(N86="","",N86-$G86)</f>
        <v/>
      </c>
      <c r="Q86" s="25" t="str">
        <f aca="false">IF(O86="","",O86-$G86)</f>
        <v/>
      </c>
      <c r="R86" s="25" t="n">
        <f aca="false">IF(I86="","",I86*(1-Assumptions!$B$5)-$G86)</f>
        <v>-36.6</v>
      </c>
      <c r="S86" s="25" t="n">
        <f aca="false">IF(K86="","",K86*(1-Assumptions!$B$5)-$G86)</f>
        <v>68.4</v>
      </c>
      <c r="T86" s="25" t="str">
        <f aca="false">IF(P86="","",P86*$F86)</f>
        <v/>
      </c>
      <c r="U86" s="25" t="str">
        <f aca="false">IF(Q86="","",Q86*$F86)</f>
        <v/>
      </c>
      <c r="V86" s="25" t="n">
        <f aca="false">IF(R86="","",R86*$F86)</f>
        <v>-732</v>
      </c>
      <c r="W86" s="25" t="n">
        <f aca="false">IF(S86="","",S86*$F86)</f>
        <v>1368</v>
      </c>
      <c r="X86" s="9" t="s">
        <v>293</v>
      </c>
      <c r="Y86" s="9" t="s">
        <v>294</v>
      </c>
      <c r="Z86" s="26"/>
    </row>
    <row r="87" customFormat="false" ht="15" hidden="false" customHeight="false" outlineLevel="0" collapsed="false">
      <c r="A87" s="13" t="n">
        <v>50340</v>
      </c>
      <c r="B87" s="14" t="s">
        <v>167</v>
      </c>
      <c r="C87" s="14" t="s">
        <v>154</v>
      </c>
      <c r="D87" s="13" t="s">
        <v>60</v>
      </c>
      <c r="E87" s="14" t="s">
        <v>42</v>
      </c>
      <c r="F87" s="15" t="n">
        <v>250</v>
      </c>
      <c r="G87" s="16" t="n">
        <f aca="false">'Auction Inventory'!L87</f>
        <v>76.5</v>
      </c>
      <c r="H87" s="13" t="n">
        <v>12</v>
      </c>
      <c r="I87" s="16" t="n">
        <v>45</v>
      </c>
      <c r="J87" s="16" t="n">
        <v>118.44</v>
      </c>
      <c r="K87" s="16" t="n">
        <v>150</v>
      </c>
      <c r="L87" s="13"/>
      <c r="M87" s="13"/>
      <c r="N87" s="16"/>
      <c r="O87" s="16"/>
      <c r="P87" s="27" t="str">
        <f aca="false">IF(N87="","",N87-$G87)</f>
        <v/>
      </c>
      <c r="Q87" s="27" t="str">
        <f aca="false">IF(O87="","",O87-$G87)</f>
        <v/>
      </c>
      <c r="R87" s="27" t="n">
        <f aca="false">IF(I87="","",I87*(1-Assumptions!$B$5)-$G87)</f>
        <v>-31.5</v>
      </c>
      <c r="S87" s="27" t="n">
        <f aca="false">IF(K87="","",K87*(1-Assumptions!$B$5)-$G87)</f>
        <v>73.5</v>
      </c>
      <c r="T87" s="27" t="str">
        <f aca="false">IF(P87="","",P87*$F87)</f>
        <v/>
      </c>
      <c r="U87" s="27" t="str">
        <f aca="false">IF(Q87="","",Q87*$F87)</f>
        <v/>
      </c>
      <c r="V87" s="27" t="n">
        <f aca="false">IF(R87="","",R87*$F87)</f>
        <v>-7875</v>
      </c>
      <c r="W87" s="27" t="n">
        <f aca="false">IF(S87="","",S87*$F87)</f>
        <v>18375</v>
      </c>
      <c r="X87" s="14" t="s">
        <v>293</v>
      </c>
      <c r="Y87" s="14" t="s">
        <v>294</v>
      </c>
      <c r="Z87" s="28" t="s">
        <v>212</v>
      </c>
    </row>
    <row r="88" customFormat="false" ht="15" hidden="false" customHeight="false" outlineLevel="0" collapsed="false">
      <c r="A88" s="8" t="n">
        <v>50351</v>
      </c>
      <c r="B88" s="9" t="s">
        <v>167</v>
      </c>
      <c r="C88" s="9" t="s">
        <v>154</v>
      </c>
      <c r="D88" s="8" t="s">
        <v>60</v>
      </c>
      <c r="E88" s="9" t="s">
        <v>42</v>
      </c>
      <c r="F88" s="10" t="n">
        <v>170</v>
      </c>
      <c r="G88" s="11" t="n">
        <f aca="false">'Auction Inventory'!L88</f>
        <v>76.5</v>
      </c>
      <c r="H88" s="8" t="n">
        <v>12</v>
      </c>
      <c r="I88" s="11" t="n">
        <v>45</v>
      </c>
      <c r="J88" s="11" t="n">
        <v>118.44</v>
      </c>
      <c r="K88" s="11" t="n">
        <v>150</v>
      </c>
      <c r="L88" s="8"/>
      <c r="M88" s="8"/>
      <c r="N88" s="11"/>
      <c r="O88" s="11"/>
      <c r="P88" s="25" t="str">
        <f aca="false">IF(N88="","",N88-$G88)</f>
        <v/>
      </c>
      <c r="Q88" s="25" t="str">
        <f aca="false">IF(O88="","",O88-$G88)</f>
        <v/>
      </c>
      <c r="R88" s="25" t="n">
        <f aca="false">IF(I88="","",I88*(1-Assumptions!$B$5)-$G88)</f>
        <v>-31.5</v>
      </c>
      <c r="S88" s="25" t="n">
        <f aca="false">IF(K88="","",K88*(1-Assumptions!$B$5)-$G88)</f>
        <v>73.5</v>
      </c>
      <c r="T88" s="25" t="str">
        <f aca="false">IF(P88="","",P88*$F88)</f>
        <v/>
      </c>
      <c r="U88" s="25" t="str">
        <f aca="false">IF(Q88="","",Q88*$F88)</f>
        <v/>
      </c>
      <c r="V88" s="25" t="n">
        <f aca="false">IF(R88="","",R88*$F88)</f>
        <v>-5355</v>
      </c>
      <c r="W88" s="25" t="n">
        <f aca="false">IF(S88="","",S88*$F88)</f>
        <v>12495</v>
      </c>
      <c r="X88" s="9" t="s">
        <v>293</v>
      </c>
      <c r="Y88" s="9" t="s">
        <v>294</v>
      </c>
      <c r="Z88" s="26" t="s">
        <v>212</v>
      </c>
    </row>
    <row r="89" customFormat="false" ht="15" hidden="false" customHeight="false" outlineLevel="0" collapsed="false">
      <c r="A89" s="13" t="n">
        <v>50365</v>
      </c>
      <c r="B89" s="14" t="s">
        <v>167</v>
      </c>
      <c r="C89" s="14" t="s">
        <v>164</v>
      </c>
      <c r="D89" s="13" t="s">
        <v>172</v>
      </c>
      <c r="E89" s="14" t="s">
        <v>165</v>
      </c>
      <c r="F89" s="15" t="n">
        <v>30</v>
      </c>
      <c r="G89" s="16" t="n">
        <f aca="false">'Auction Inventory'!L89</f>
        <v>86.7</v>
      </c>
      <c r="H89" s="13"/>
      <c r="I89" s="16"/>
      <c r="J89" s="16"/>
      <c r="K89" s="16"/>
      <c r="L89" s="13"/>
      <c r="M89" s="13"/>
      <c r="N89" s="16"/>
      <c r="O89" s="16"/>
      <c r="P89" s="27" t="str">
        <f aca="false">IF(N89="","",N89-$G89)</f>
        <v/>
      </c>
      <c r="Q89" s="27" t="str">
        <f aca="false">IF(O89="","",O89-$G89)</f>
        <v/>
      </c>
      <c r="R89" s="27" t="str">
        <f aca="false">IF(I89="","",I89*(1-Assumptions!$B$5)-$G89)</f>
        <v/>
      </c>
      <c r="S89" s="27" t="str">
        <f aca="false">IF(K89="","",K89*(1-Assumptions!$B$5)-$G89)</f>
        <v/>
      </c>
      <c r="T89" s="27" t="str">
        <f aca="false">IF(P89="","",P89*$F89)</f>
        <v/>
      </c>
      <c r="U89" s="27" t="str">
        <f aca="false">IF(Q89="","",Q89*$F89)</f>
        <v/>
      </c>
      <c r="V89" s="27" t="str">
        <f aca="false">IF(R89="","",R89*$F89)</f>
        <v/>
      </c>
      <c r="W89" s="27" t="str">
        <f aca="false">IF(S89="","",S89*$F89)</f>
        <v/>
      </c>
      <c r="X89" s="14"/>
      <c r="Y89" s="14"/>
      <c r="Z89" s="28" t="s">
        <v>219</v>
      </c>
    </row>
    <row r="90" customFormat="false" ht="15" hidden="false" customHeight="false" outlineLevel="0" collapsed="false">
      <c r="A90" s="8" t="n">
        <v>50425</v>
      </c>
      <c r="B90" s="9" t="s">
        <v>174</v>
      </c>
      <c r="C90" s="9" t="s">
        <v>47</v>
      </c>
      <c r="D90" s="8" t="s">
        <v>60</v>
      </c>
      <c r="E90" s="9" t="s">
        <v>42</v>
      </c>
      <c r="F90" s="10" t="n">
        <v>20</v>
      </c>
      <c r="G90" s="11" t="n">
        <f aca="false">'Auction Inventory'!L90</f>
        <v>40.8</v>
      </c>
      <c r="H90" s="8"/>
      <c r="I90" s="11"/>
      <c r="J90" s="11"/>
      <c r="K90" s="11"/>
      <c r="L90" s="8"/>
      <c r="M90" s="8"/>
      <c r="N90" s="11"/>
      <c r="O90" s="11"/>
      <c r="P90" s="25" t="str">
        <f aca="false">IF(N90="","",N90-$G90)</f>
        <v/>
      </c>
      <c r="Q90" s="25" t="str">
        <f aca="false">IF(O90="","",O90-$G90)</f>
        <v/>
      </c>
      <c r="R90" s="25" t="str">
        <f aca="false">IF(I90="","",I90*(1-Assumptions!$B$5)-$G90)</f>
        <v/>
      </c>
      <c r="S90" s="25" t="str">
        <f aca="false">IF(K90="","",K90*(1-Assumptions!$B$5)-$G90)</f>
        <v/>
      </c>
      <c r="T90" s="25" t="str">
        <f aca="false">IF(P90="","",P90*$F90)</f>
        <v/>
      </c>
      <c r="U90" s="25" t="str">
        <f aca="false">IF(Q90="","",Q90*$F90)</f>
        <v/>
      </c>
      <c r="V90" s="25" t="str">
        <f aca="false">IF(R90="","",R90*$F90)</f>
        <v/>
      </c>
      <c r="W90" s="25" t="str">
        <f aca="false">IF(S90="","",S90*$F90)</f>
        <v/>
      </c>
      <c r="X90" s="9"/>
      <c r="Y90" s="9"/>
      <c r="Z90" s="26" t="s">
        <v>219</v>
      </c>
    </row>
    <row r="91" customFormat="false" ht="15" hidden="false" customHeight="false" outlineLevel="0" collapsed="false">
      <c r="A91" s="13" t="n">
        <v>50362</v>
      </c>
      <c r="B91" s="14" t="s">
        <v>174</v>
      </c>
      <c r="C91" s="14" t="s">
        <v>154</v>
      </c>
      <c r="D91" s="13" t="s">
        <v>176</v>
      </c>
      <c r="E91" s="14" t="s">
        <v>165</v>
      </c>
      <c r="F91" s="15" t="n">
        <v>40</v>
      </c>
      <c r="G91" s="16" t="n">
        <f aca="false">'Auction Inventory'!L91</f>
        <v>40.8</v>
      </c>
      <c r="H91" s="13"/>
      <c r="I91" s="16"/>
      <c r="J91" s="16"/>
      <c r="K91" s="16"/>
      <c r="L91" s="13"/>
      <c r="M91" s="13"/>
      <c r="N91" s="16"/>
      <c r="O91" s="16"/>
      <c r="P91" s="27" t="str">
        <f aca="false">IF(N91="","",N91-$G91)</f>
        <v/>
      </c>
      <c r="Q91" s="27" t="str">
        <f aca="false">IF(O91="","",O91-$G91)</f>
        <v/>
      </c>
      <c r="R91" s="27" t="str">
        <f aca="false">IF(I91="","",I91*(1-Assumptions!$B$5)-$G91)</f>
        <v/>
      </c>
      <c r="S91" s="27" t="str">
        <f aca="false">IF(K91="","",K91*(1-Assumptions!$B$5)-$G91)</f>
        <v/>
      </c>
      <c r="T91" s="27" t="str">
        <f aca="false">IF(P91="","",P91*$F91)</f>
        <v/>
      </c>
      <c r="U91" s="27" t="str">
        <f aca="false">IF(Q91="","",Q91*$F91)</f>
        <v/>
      </c>
      <c r="V91" s="27" t="str">
        <f aca="false">IF(R91="","",R91*$F91)</f>
        <v/>
      </c>
      <c r="W91" s="27" t="str">
        <f aca="false">IF(S91="","",S91*$F91)</f>
        <v/>
      </c>
      <c r="X91" s="14"/>
      <c r="Y91" s="14"/>
      <c r="Z91" s="28" t="s">
        <v>219</v>
      </c>
    </row>
    <row r="92" customFormat="false" ht="15" hidden="false" customHeight="false" outlineLevel="0" collapsed="false">
      <c r="A92" s="8" t="n">
        <v>50339</v>
      </c>
      <c r="B92" s="9" t="s">
        <v>174</v>
      </c>
      <c r="C92" s="9" t="s">
        <v>154</v>
      </c>
      <c r="D92" s="8" t="s">
        <v>60</v>
      </c>
      <c r="E92" s="9" t="s">
        <v>42</v>
      </c>
      <c r="F92" s="10" t="n">
        <v>272</v>
      </c>
      <c r="G92" s="11" t="n">
        <f aca="false">'Auction Inventory'!L92</f>
        <v>45.1875</v>
      </c>
      <c r="H92" s="8"/>
      <c r="I92" s="11"/>
      <c r="J92" s="11"/>
      <c r="K92" s="11"/>
      <c r="L92" s="8"/>
      <c r="M92" s="8"/>
      <c r="N92" s="11"/>
      <c r="O92" s="11"/>
      <c r="P92" s="25" t="str">
        <f aca="false">IF(N92="","",N92-$G92)</f>
        <v/>
      </c>
      <c r="Q92" s="25" t="str">
        <f aca="false">IF(O92="","",O92-$G92)</f>
        <v/>
      </c>
      <c r="R92" s="25" t="str">
        <f aca="false">IF(I92="","",I92*(1-Assumptions!$B$5)-$G92)</f>
        <v/>
      </c>
      <c r="S92" s="25" t="str">
        <f aca="false">IF(K92="","",K92*(1-Assumptions!$B$5)-$G92)</f>
        <v/>
      </c>
      <c r="T92" s="25" t="str">
        <f aca="false">IF(P92="","",P92*$F92)</f>
        <v/>
      </c>
      <c r="U92" s="25" t="str">
        <f aca="false">IF(Q92="","",Q92*$F92)</f>
        <v/>
      </c>
      <c r="V92" s="25" t="str">
        <f aca="false">IF(R92="","",R92*$F92)</f>
        <v/>
      </c>
      <c r="W92" s="25" t="str">
        <f aca="false">IF(S92="","",S92*$F92)</f>
        <v/>
      </c>
      <c r="X92" s="9"/>
      <c r="Y92" s="9"/>
      <c r="Z92" s="26" t="s">
        <v>219</v>
      </c>
    </row>
    <row r="93" customFormat="false" ht="15" hidden="false" customHeight="false" outlineLevel="0" collapsed="false">
      <c r="A93" s="13" t="n">
        <v>50366</v>
      </c>
      <c r="B93" s="14" t="s">
        <v>179</v>
      </c>
      <c r="C93" s="14" t="s">
        <v>164</v>
      </c>
      <c r="D93" s="13" t="s">
        <v>48</v>
      </c>
      <c r="E93" s="14" t="s">
        <v>42</v>
      </c>
      <c r="F93" s="15" t="n">
        <v>30</v>
      </c>
      <c r="G93" s="16" t="n">
        <f aca="false">'Auction Inventory'!L93</f>
        <v>43.35</v>
      </c>
      <c r="H93" s="13"/>
      <c r="I93" s="16"/>
      <c r="J93" s="16"/>
      <c r="K93" s="16"/>
      <c r="L93" s="13"/>
      <c r="M93" s="13"/>
      <c r="N93" s="16"/>
      <c r="O93" s="16"/>
      <c r="P93" s="27" t="str">
        <f aca="false">IF(N93="","",N93-$G93)</f>
        <v/>
      </c>
      <c r="Q93" s="27" t="str">
        <f aca="false">IF(O93="","",O93-$G93)</f>
        <v/>
      </c>
      <c r="R93" s="27" t="str">
        <f aca="false">IF(I93="","",I93*(1-Assumptions!$B$5)-$G93)</f>
        <v/>
      </c>
      <c r="S93" s="27" t="str">
        <f aca="false">IF(K93="","",K93*(1-Assumptions!$B$5)-$G93)</f>
        <v/>
      </c>
      <c r="T93" s="27" t="str">
        <f aca="false">IF(P93="","",P93*$F93)</f>
        <v/>
      </c>
      <c r="U93" s="27" t="str">
        <f aca="false">IF(Q93="","",Q93*$F93)</f>
        <v/>
      </c>
      <c r="V93" s="27" t="str">
        <f aca="false">IF(R93="","",R93*$F93)</f>
        <v/>
      </c>
      <c r="W93" s="27" t="str">
        <f aca="false">IF(S93="","",S93*$F93)</f>
        <v/>
      </c>
      <c r="X93" s="14"/>
      <c r="Y93" s="14"/>
      <c r="Z93" s="28" t="s">
        <v>219</v>
      </c>
    </row>
    <row r="94" customFormat="false" ht="15" hidden="false" customHeight="false" outlineLevel="0" collapsed="false">
      <c r="A94" s="8" t="n">
        <v>50363</v>
      </c>
      <c r="B94" s="9" t="s">
        <v>179</v>
      </c>
      <c r="C94" s="9" t="s">
        <v>164</v>
      </c>
      <c r="D94" s="8" t="s">
        <v>60</v>
      </c>
      <c r="E94" s="9" t="s">
        <v>165</v>
      </c>
      <c r="F94" s="10" t="n">
        <v>40</v>
      </c>
      <c r="G94" s="11" t="n">
        <f aca="false">'Auction Inventory'!L94</f>
        <v>20.4</v>
      </c>
      <c r="H94" s="8"/>
      <c r="I94" s="11"/>
      <c r="J94" s="11"/>
      <c r="K94" s="11"/>
      <c r="L94" s="8"/>
      <c r="M94" s="8"/>
      <c r="N94" s="11"/>
      <c r="O94" s="11"/>
      <c r="P94" s="25" t="str">
        <f aca="false">IF(N94="","",N94-$G94)</f>
        <v/>
      </c>
      <c r="Q94" s="25" t="str">
        <f aca="false">IF(O94="","",O94-$G94)</f>
        <v/>
      </c>
      <c r="R94" s="25" t="str">
        <f aca="false">IF(I94="","",I94*(1-Assumptions!$B$5)-$G94)</f>
        <v/>
      </c>
      <c r="S94" s="25" t="str">
        <f aca="false">IF(K94="","",K94*(1-Assumptions!$B$5)-$G94)</f>
        <v/>
      </c>
      <c r="T94" s="25" t="str">
        <f aca="false">IF(P94="","",P94*$F94)</f>
        <v/>
      </c>
      <c r="U94" s="25" t="str">
        <f aca="false">IF(Q94="","",Q94*$F94)</f>
        <v/>
      </c>
      <c r="V94" s="25" t="str">
        <f aca="false">IF(R94="","",R94*$F94)</f>
        <v/>
      </c>
      <c r="W94" s="25" t="str">
        <f aca="false">IF(S94="","",S94*$F94)</f>
        <v/>
      </c>
      <c r="X94" s="9"/>
      <c r="Y94" s="9"/>
      <c r="Z94" s="26" t="s">
        <v>219</v>
      </c>
    </row>
    <row r="95" customFormat="false" ht="15" hidden="false" customHeight="false" outlineLevel="0" collapsed="false">
      <c r="A95" s="13" t="n">
        <v>50367</v>
      </c>
      <c r="B95" s="14" t="s">
        <v>182</v>
      </c>
      <c r="C95" s="14" t="s">
        <v>164</v>
      </c>
      <c r="D95" s="13" t="s">
        <v>48</v>
      </c>
      <c r="E95" s="14" t="s">
        <v>42</v>
      </c>
      <c r="F95" s="15" t="n">
        <v>30</v>
      </c>
      <c r="G95" s="16" t="n">
        <f aca="false">'Auction Inventory'!L95</f>
        <v>90.78</v>
      </c>
      <c r="H95" s="13"/>
      <c r="I95" s="16"/>
      <c r="J95" s="16"/>
      <c r="K95" s="16"/>
      <c r="L95" s="13"/>
      <c r="M95" s="13"/>
      <c r="N95" s="16"/>
      <c r="O95" s="16"/>
      <c r="P95" s="27" t="str">
        <f aca="false">IF(N95="","",N95-$G95)</f>
        <v/>
      </c>
      <c r="Q95" s="27" t="str">
        <f aca="false">IF(O95="","",O95-$G95)</f>
        <v/>
      </c>
      <c r="R95" s="27" t="str">
        <f aca="false">IF(I95="","",I95*(1-Assumptions!$B$5)-$G95)</f>
        <v/>
      </c>
      <c r="S95" s="27" t="str">
        <f aca="false">IF(K95="","",K95*(1-Assumptions!$B$5)-$G95)</f>
        <v/>
      </c>
      <c r="T95" s="27" t="str">
        <f aca="false">IF(P95="","",P95*$F95)</f>
        <v/>
      </c>
      <c r="U95" s="27" t="str">
        <f aca="false">IF(Q95="","",Q95*$F95)</f>
        <v/>
      </c>
      <c r="V95" s="27" t="str">
        <f aca="false">IF(R95="","",R95*$F95)</f>
        <v/>
      </c>
      <c r="W95" s="27" t="str">
        <f aca="false">IF(S95="","",S95*$F95)</f>
        <v/>
      </c>
      <c r="X95" s="14"/>
      <c r="Y95" s="14"/>
      <c r="Z95" s="28" t="s">
        <v>219</v>
      </c>
    </row>
    <row r="96" customFormat="false" ht="15" hidden="false" customHeight="false" outlineLevel="0" collapsed="false">
      <c r="A96" s="8" t="n">
        <v>50364</v>
      </c>
      <c r="B96" s="9" t="s">
        <v>184</v>
      </c>
      <c r="C96" s="9" t="s">
        <v>164</v>
      </c>
      <c r="D96" s="8" t="s">
        <v>53</v>
      </c>
      <c r="E96" s="9" t="s">
        <v>165</v>
      </c>
      <c r="F96" s="10" t="n">
        <v>35</v>
      </c>
      <c r="G96" s="11" t="n">
        <f aca="false">'Auction Inventory'!L96</f>
        <v>35.7</v>
      </c>
      <c r="H96" s="8"/>
      <c r="I96" s="11"/>
      <c r="J96" s="11"/>
      <c r="K96" s="11"/>
      <c r="L96" s="8"/>
      <c r="M96" s="8"/>
      <c r="N96" s="11"/>
      <c r="O96" s="11"/>
      <c r="P96" s="25" t="str">
        <f aca="false">IF(N96="","",N96-$G96)</f>
        <v/>
      </c>
      <c r="Q96" s="25" t="str">
        <f aca="false">IF(O96="","",O96-$G96)</f>
        <v/>
      </c>
      <c r="R96" s="25" t="str">
        <f aca="false">IF(I96="","",I96*(1-Assumptions!$B$5)-$G96)</f>
        <v/>
      </c>
      <c r="S96" s="25" t="str">
        <f aca="false">IF(K96="","",K96*(1-Assumptions!$B$5)-$G96)</f>
        <v/>
      </c>
      <c r="T96" s="25" t="str">
        <f aca="false">IF(P96="","",P96*$F96)</f>
        <v/>
      </c>
      <c r="U96" s="25" t="str">
        <f aca="false">IF(Q96="","",Q96*$F96)</f>
        <v/>
      </c>
      <c r="V96" s="25" t="str">
        <f aca="false">IF(R96="","",R96*$F96)</f>
        <v/>
      </c>
      <c r="W96" s="25" t="str">
        <f aca="false">IF(S96="","",S96*$F96)</f>
        <v/>
      </c>
      <c r="X96" s="9"/>
      <c r="Y96" s="9"/>
      <c r="Z96" s="26" t="s">
        <v>219</v>
      </c>
    </row>
    <row r="97" customFormat="false" ht="15" hidden="false" customHeight="false" outlineLevel="0" collapsed="false">
      <c r="A97" s="13" t="n">
        <v>50361</v>
      </c>
      <c r="B97" s="14" t="s">
        <v>186</v>
      </c>
      <c r="C97" s="14" t="s">
        <v>164</v>
      </c>
      <c r="D97" s="13" t="s">
        <v>176</v>
      </c>
      <c r="E97" s="14" t="s">
        <v>165</v>
      </c>
      <c r="F97" s="15" t="n">
        <v>50</v>
      </c>
      <c r="G97" s="16" t="n">
        <f aca="false">'Auction Inventory'!L97</f>
        <v>12.444</v>
      </c>
      <c r="H97" s="13"/>
      <c r="I97" s="16"/>
      <c r="J97" s="16"/>
      <c r="K97" s="16"/>
      <c r="L97" s="13"/>
      <c r="M97" s="13"/>
      <c r="N97" s="16"/>
      <c r="O97" s="16"/>
      <c r="P97" s="27" t="str">
        <f aca="false">IF(N97="","",N97-$G97)</f>
        <v/>
      </c>
      <c r="Q97" s="27" t="str">
        <f aca="false">IF(O97="","",O97-$G97)</f>
        <v/>
      </c>
      <c r="R97" s="27" t="str">
        <f aca="false">IF(I97="","",I97*(1-Assumptions!$B$5)-$G97)</f>
        <v/>
      </c>
      <c r="S97" s="27" t="str">
        <f aca="false">IF(K97="","",K97*(1-Assumptions!$B$5)-$G97)</f>
        <v/>
      </c>
      <c r="T97" s="27" t="str">
        <f aca="false">IF(P97="","",P97*$F97)</f>
        <v/>
      </c>
      <c r="U97" s="27" t="str">
        <f aca="false">IF(Q97="","",Q97*$F97)</f>
        <v/>
      </c>
      <c r="V97" s="27" t="str">
        <f aca="false">IF(R97="","",R97*$F97)</f>
        <v/>
      </c>
      <c r="W97" s="27" t="str">
        <f aca="false">IF(S97="","",S97*$F97)</f>
        <v/>
      </c>
      <c r="X97" s="14"/>
      <c r="Y97" s="14"/>
      <c r="Z97" s="28" t="s">
        <v>219</v>
      </c>
    </row>
    <row r="98" customFormat="false" ht="15" hidden="false" customHeight="false" outlineLevel="0" collapsed="false">
      <c r="A98" s="18" t="s">
        <v>295</v>
      </c>
      <c r="B98" s="18"/>
      <c r="C98" s="18"/>
      <c r="D98" s="18"/>
      <c r="E98" s="18"/>
      <c r="F98" s="19" t="n">
        <f aca="false">SUM(F2:F97)</f>
        <v>8732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9" t="n">
        <f aca="false">SUM(T2:T97)</f>
        <v>-6475</v>
      </c>
      <c r="U98" s="29" t="n">
        <f aca="false">SUM(U2:U97)</f>
        <v>485</v>
      </c>
      <c r="V98" s="29" t="n">
        <f aca="false">SUM(V2:V97)</f>
        <v>336831.51</v>
      </c>
      <c r="W98" s="29" t="n">
        <f aca="false">SUM(W2:W97)</f>
        <v>1590389.27</v>
      </c>
      <c r="X98" s="20"/>
      <c r="Y98" s="20"/>
      <c r="Z98" s="20"/>
    </row>
  </sheetData>
  <autoFilter ref="A1:Z97"/>
  <mergeCells count="1">
    <mergeCell ref="A98: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296</v>
      </c>
      <c r="B1" s="7" t="s">
        <v>297</v>
      </c>
      <c r="C1" s="7" t="s">
        <v>27</v>
      </c>
      <c r="D1" s="7" t="s">
        <v>298</v>
      </c>
      <c r="E1" s="7" t="s">
        <v>32</v>
      </c>
      <c r="F1" s="7" t="s">
        <v>33</v>
      </c>
      <c r="G1" s="7" t="s">
        <v>299</v>
      </c>
    </row>
    <row r="2" customFormat="false" ht="15" hidden="false" customHeight="false" outlineLevel="0" collapsed="false">
      <c r="A2" s="9" t="s">
        <v>39</v>
      </c>
      <c r="B2" s="8" t="n">
        <f aca="false">COUNTIF('Auction Inventory'!$B$2:$B$97,$A2)</f>
        <v>2</v>
      </c>
      <c r="C2" s="30" t="n">
        <f aca="false">SUMIF('Auction Inventory'!$B$2:$B$97,$A2,'Auction Inventory'!$E$2:$E$97)</f>
        <v>40</v>
      </c>
      <c r="D2" s="11" t="n">
        <f aca="false">SUMIF('Auction Inventory'!$B$2:$B$97,$A2,'Auction Inventory'!$H$2:$H$97)</f>
        <v>37250</v>
      </c>
      <c r="E2" s="11" t="n">
        <f aca="false">D2*Assumptions!$B$4</f>
        <v>745</v>
      </c>
      <c r="F2" s="11" t="n">
        <f aca="false">D2+E2</f>
        <v>37995</v>
      </c>
      <c r="G2" s="11" t="n">
        <f aca="false">IF(C2=0,"",F2/C2)</f>
        <v>949.875</v>
      </c>
    </row>
    <row r="3" customFormat="false" ht="15" hidden="false" customHeight="false" outlineLevel="0" collapsed="false">
      <c r="A3" s="14" t="s">
        <v>52</v>
      </c>
      <c r="B3" s="13" t="n">
        <f aca="false">COUNTIF('Auction Inventory'!$B$2:$B$97,$A3)</f>
        <v>1</v>
      </c>
      <c r="C3" s="31" t="n">
        <f aca="false">SUMIF('Auction Inventory'!$B$2:$B$97,$A3,'Auction Inventory'!$E$2:$E$97)</f>
        <v>20</v>
      </c>
      <c r="D3" s="16" t="n">
        <f aca="false">SUMIF('Auction Inventory'!$B$2:$B$97,$A3,'Auction Inventory'!$H$2:$H$97)</f>
        <v>13050</v>
      </c>
      <c r="E3" s="16" t="n">
        <f aca="false">D3*Assumptions!$B$4</f>
        <v>261</v>
      </c>
      <c r="F3" s="16" t="n">
        <f aca="false">D3+E3</f>
        <v>13311</v>
      </c>
      <c r="G3" s="16" t="n">
        <f aca="false">IF(C3=0,"",F3/C3)</f>
        <v>665.55</v>
      </c>
    </row>
    <row r="4" customFormat="false" ht="15" hidden="false" customHeight="false" outlineLevel="0" collapsed="false">
      <c r="A4" s="9" t="s">
        <v>55</v>
      </c>
      <c r="B4" s="8" t="n">
        <f aca="false">COUNTIF('Auction Inventory'!$B$2:$B$97,$A4)</f>
        <v>4</v>
      </c>
      <c r="C4" s="30" t="n">
        <f aca="false">SUMIF('Auction Inventory'!$B$2:$B$97,$A4,'Auction Inventory'!$E$2:$E$97)</f>
        <v>80</v>
      </c>
      <c r="D4" s="11" t="n">
        <f aca="false">SUMIF('Auction Inventory'!$B$2:$B$97,$A4,'Auction Inventory'!$H$2:$H$97)</f>
        <v>35350</v>
      </c>
      <c r="E4" s="11" t="n">
        <f aca="false">D4*Assumptions!$B$4</f>
        <v>707</v>
      </c>
      <c r="F4" s="11" t="n">
        <f aca="false">D4+E4</f>
        <v>36057</v>
      </c>
      <c r="G4" s="11" t="n">
        <f aca="false">IF(C4=0,"",F4/C4)</f>
        <v>450.7125</v>
      </c>
    </row>
    <row r="5" customFormat="false" ht="15" hidden="false" customHeight="false" outlineLevel="0" collapsed="false">
      <c r="A5" s="14" t="s">
        <v>62</v>
      </c>
      <c r="B5" s="13" t="n">
        <f aca="false">COUNTIF('Auction Inventory'!$B$2:$B$97,$A5)</f>
        <v>4</v>
      </c>
      <c r="C5" s="31" t="n">
        <f aca="false">SUMIF('Auction Inventory'!$B$2:$B$97,$A5,'Auction Inventory'!$E$2:$E$97)</f>
        <v>80</v>
      </c>
      <c r="D5" s="16" t="n">
        <f aca="false">SUMIF('Auction Inventory'!$B$2:$B$97,$A5,'Auction Inventory'!$H$2:$H$97)</f>
        <v>45350</v>
      </c>
      <c r="E5" s="16" t="n">
        <f aca="false">D5*Assumptions!$B$4</f>
        <v>907</v>
      </c>
      <c r="F5" s="16" t="n">
        <f aca="false">D5+E5</f>
        <v>46257</v>
      </c>
      <c r="G5" s="16" t="n">
        <f aca="false">IF(C5=0,"",F5/C5)</f>
        <v>578.2125</v>
      </c>
    </row>
    <row r="6" customFormat="false" ht="15" hidden="false" customHeight="false" outlineLevel="0" collapsed="false">
      <c r="A6" s="9" t="s">
        <v>68</v>
      </c>
      <c r="B6" s="8" t="n">
        <f aca="false">COUNTIF('Auction Inventory'!$B$2:$B$97,$A6)</f>
        <v>1</v>
      </c>
      <c r="C6" s="30" t="n">
        <f aca="false">SUMIF('Auction Inventory'!$B$2:$B$97,$A6,'Auction Inventory'!$E$2:$E$97)</f>
        <v>20</v>
      </c>
      <c r="D6" s="11" t="n">
        <f aca="false">SUMIF('Auction Inventory'!$B$2:$B$97,$A6,'Auction Inventory'!$H$2:$H$97)</f>
        <v>8938</v>
      </c>
      <c r="E6" s="11" t="n">
        <f aca="false">D6*Assumptions!$B$4</f>
        <v>178.76</v>
      </c>
      <c r="F6" s="11" t="n">
        <f aca="false">D6+E6</f>
        <v>9116.76</v>
      </c>
      <c r="G6" s="11" t="n">
        <f aca="false">IF(C6=0,"",F6/C6)</f>
        <v>455.838</v>
      </c>
    </row>
    <row r="7" customFormat="false" ht="15" hidden="false" customHeight="false" outlineLevel="0" collapsed="false">
      <c r="A7" s="14" t="s">
        <v>71</v>
      </c>
      <c r="B7" s="13" t="n">
        <f aca="false">COUNTIF('Auction Inventory'!$B$2:$B$97,$A7)</f>
        <v>4</v>
      </c>
      <c r="C7" s="31" t="n">
        <f aca="false">SUMIF('Auction Inventory'!$B$2:$B$97,$A7,'Auction Inventory'!$E$2:$E$97)</f>
        <v>80</v>
      </c>
      <c r="D7" s="16" t="n">
        <f aca="false">SUMIF('Auction Inventory'!$B$2:$B$97,$A7,'Auction Inventory'!$H$2:$H$97)</f>
        <v>27150</v>
      </c>
      <c r="E7" s="16" t="n">
        <f aca="false">D7*Assumptions!$B$4</f>
        <v>543</v>
      </c>
      <c r="F7" s="16" t="n">
        <f aca="false">D7+E7</f>
        <v>27693</v>
      </c>
      <c r="G7" s="16" t="n">
        <f aca="false">IF(C7=0,"",F7/C7)</f>
        <v>346.1625</v>
      </c>
    </row>
    <row r="8" customFormat="false" ht="15" hidden="false" customHeight="false" outlineLevel="0" collapsed="false">
      <c r="A8" s="9" t="s">
        <v>77</v>
      </c>
      <c r="B8" s="8" t="n">
        <f aca="false">COUNTIF('Auction Inventory'!$B$2:$B$97,$A8)</f>
        <v>2</v>
      </c>
      <c r="C8" s="30" t="n">
        <f aca="false">SUMIF('Auction Inventory'!$B$2:$B$97,$A8,'Auction Inventory'!$E$2:$E$97)</f>
        <v>266</v>
      </c>
      <c r="D8" s="11" t="n">
        <f aca="false">SUMIF('Auction Inventory'!$B$2:$B$97,$A8,'Auction Inventory'!$H$2:$H$97)</f>
        <v>69685</v>
      </c>
      <c r="E8" s="11" t="n">
        <f aca="false">D8*Assumptions!$B$4</f>
        <v>1393.7</v>
      </c>
      <c r="F8" s="11" t="n">
        <f aca="false">D8+E8</f>
        <v>71078.7</v>
      </c>
      <c r="G8" s="11" t="n">
        <f aca="false">IF(C8=0,"",F8/C8)</f>
        <v>267.213157894737</v>
      </c>
    </row>
    <row r="9" customFormat="false" ht="15" hidden="false" customHeight="false" outlineLevel="0" collapsed="false">
      <c r="A9" s="14" t="s">
        <v>80</v>
      </c>
      <c r="B9" s="13" t="n">
        <f aca="false">COUNTIF('Auction Inventory'!$B$2:$B$97,$A9)</f>
        <v>3</v>
      </c>
      <c r="C9" s="31" t="n">
        <f aca="false">SUMIF('Auction Inventory'!$B$2:$B$97,$A9,'Auction Inventory'!$E$2:$E$97)</f>
        <v>60</v>
      </c>
      <c r="D9" s="16" t="n">
        <f aca="false">SUMIF('Auction Inventory'!$B$2:$B$97,$A9,'Auction Inventory'!$H$2:$H$97)</f>
        <v>15156</v>
      </c>
      <c r="E9" s="16" t="n">
        <f aca="false">D9*Assumptions!$B$4</f>
        <v>303.12</v>
      </c>
      <c r="F9" s="16" t="n">
        <f aca="false">D9+E9</f>
        <v>15459.12</v>
      </c>
      <c r="G9" s="16" t="n">
        <f aca="false">IF(C9=0,"",F9/C9)</f>
        <v>257.652</v>
      </c>
    </row>
    <row r="10" customFormat="false" ht="15" hidden="false" customHeight="false" outlineLevel="0" collapsed="false">
      <c r="A10" s="9" t="s">
        <v>84</v>
      </c>
      <c r="B10" s="8" t="n">
        <f aca="false">COUNTIF('Auction Inventory'!$B$2:$B$97,$A10)</f>
        <v>6</v>
      </c>
      <c r="C10" s="30" t="n">
        <f aca="false">SUMIF('Auction Inventory'!$B$2:$B$97,$A10,'Auction Inventory'!$E$2:$E$97)</f>
        <v>510</v>
      </c>
      <c r="D10" s="11" t="n">
        <f aca="false">SUMIF('Auction Inventory'!$B$2:$B$97,$A10,'Auction Inventory'!$H$2:$H$97)</f>
        <v>178920</v>
      </c>
      <c r="E10" s="11" t="n">
        <f aca="false">D10*Assumptions!$B$4</f>
        <v>3578.4</v>
      </c>
      <c r="F10" s="11" t="n">
        <f aca="false">D10+E10</f>
        <v>182498.4</v>
      </c>
      <c r="G10" s="11" t="n">
        <f aca="false">IF(C10=0,"",F10/C10)</f>
        <v>357.84</v>
      </c>
    </row>
    <row r="11" customFormat="false" ht="15" hidden="false" customHeight="false" outlineLevel="0" collapsed="false">
      <c r="A11" s="14" t="s">
        <v>91</v>
      </c>
      <c r="B11" s="13" t="n">
        <f aca="false">COUNTIF('Auction Inventory'!$B$2:$B$97,$A11)</f>
        <v>5</v>
      </c>
      <c r="C11" s="31" t="n">
        <f aca="false">SUMIF('Auction Inventory'!$B$2:$B$97,$A11,'Auction Inventory'!$E$2:$E$97)</f>
        <v>418</v>
      </c>
      <c r="D11" s="16" t="n">
        <f aca="false">SUMIF('Auction Inventory'!$B$2:$B$97,$A11,'Auction Inventory'!$H$2:$H$97)</f>
        <v>106525</v>
      </c>
      <c r="E11" s="16" t="n">
        <f aca="false">D11*Assumptions!$B$4</f>
        <v>2130.5</v>
      </c>
      <c r="F11" s="16" t="n">
        <f aca="false">D11+E11</f>
        <v>108655.5</v>
      </c>
      <c r="G11" s="16" t="n">
        <f aca="false">IF(C11=0,"",F11/C11)</f>
        <v>259.941387559809</v>
      </c>
    </row>
    <row r="12" customFormat="false" ht="15" hidden="false" customHeight="false" outlineLevel="0" collapsed="false">
      <c r="A12" s="9" t="s">
        <v>97</v>
      </c>
      <c r="B12" s="8" t="n">
        <f aca="false">COUNTIF('Auction Inventory'!$B$2:$B$97,$A12)</f>
        <v>5</v>
      </c>
      <c r="C12" s="30" t="n">
        <f aca="false">SUMIF('Auction Inventory'!$B$2:$B$97,$A12,'Auction Inventory'!$E$2:$E$97)</f>
        <v>371</v>
      </c>
      <c r="D12" s="11" t="n">
        <f aca="false">SUMIF('Auction Inventory'!$B$2:$B$97,$A12,'Auction Inventory'!$H$2:$H$97)</f>
        <v>80290</v>
      </c>
      <c r="E12" s="11" t="n">
        <f aca="false">D12*Assumptions!$B$4</f>
        <v>1605.8</v>
      </c>
      <c r="F12" s="11" t="n">
        <f aca="false">D12+E12</f>
        <v>81895.8</v>
      </c>
      <c r="G12" s="11" t="n">
        <f aca="false">IF(C12=0,"",F12/C12)</f>
        <v>220.743396226415</v>
      </c>
    </row>
    <row r="13" customFormat="false" ht="15" hidden="false" customHeight="false" outlineLevel="0" collapsed="false">
      <c r="A13" s="14" t="s">
        <v>103</v>
      </c>
      <c r="B13" s="13" t="n">
        <f aca="false">COUNTIF('Auction Inventory'!$B$2:$B$97,$A13)</f>
        <v>6</v>
      </c>
      <c r="C13" s="31" t="n">
        <f aca="false">SUMIF('Auction Inventory'!$B$2:$B$97,$A13,'Auction Inventory'!$E$2:$E$97)</f>
        <v>858</v>
      </c>
      <c r="D13" s="16" t="n">
        <f aca="false">SUMIF('Auction Inventory'!$B$2:$B$97,$A13,'Auction Inventory'!$H$2:$H$97)</f>
        <v>184345</v>
      </c>
      <c r="E13" s="16" t="n">
        <f aca="false">D13*Assumptions!$B$4</f>
        <v>3686.9</v>
      </c>
      <c r="F13" s="16" t="n">
        <f aca="false">D13+E13</f>
        <v>188031.9</v>
      </c>
      <c r="G13" s="16" t="n">
        <f aca="false">IF(C13=0,"",F13/C13)</f>
        <v>219.151398601399</v>
      </c>
    </row>
    <row r="14" customFormat="false" ht="15" hidden="false" customHeight="false" outlineLevel="0" collapsed="false">
      <c r="A14" s="9" t="s">
        <v>110</v>
      </c>
      <c r="B14" s="8" t="n">
        <f aca="false">COUNTIF('Auction Inventory'!$B$2:$B$97,$A14)</f>
        <v>4</v>
      </c>
      <c r="C14" s="30" t="n">
        <f aca="false">SUMIF('Auction Inventory'!$B$2:$B$97,$A14,'Auction Inventory'!$E$2:$E$97)</f>
        <v>524</v>
      </c>
      <c r="D14" s="11" t="n">
        <f aca="false">SUMIF('Auction Inventory'!$B$2:$B$97,$A14,'Auction Inventory'!$H$2:$H$97)</f>
        <v>120701</v>
      </c>
      <c r="E14" s="11" t="n">
        <f aca="false">D14*Assumptions!$B$4</f>
        <v>2414.02</v>
      </c>
      <c r="F14" s="11" t="n">
        <f aca="false">D14+E14</f>
        <v>123115.02</v>
      </c>
      <c r="G14" s="11" t="n">
        <f aca="false">IF(C14=0,"",F14/C14)</f>
        <v>234.952328244275</v>
      </c>
    </row>
    <row r="15" customFormat="false" ht="15" hidden="false" customHeight="false" outlineLevel="0" collapsed="false">
      <c r="A15" s="14" t="s">
        <v>115</v>
      </c>
      <c r="B15" s="13" t="n">
        <f aca="false">COUNTIF('Auction Inventory'!$B$2:$B$97,$A15)</f>
        <v>4</v>
      </c>
      <c r="C15" s="31" t="n">
        <f aca="false">SUMIF('Auction Inventory'!$B$2:$B$97,$A15,'Auction Inventory'!$E$2:$E$97)</f>
        <v>502</v>
      </c>
      <c r="D15" s="16" t="n">
        <f aca="false">SUMIF('Auction Inventory'!$B$2:$B$97,$A15,'Auction Inventory'!$H$2:$H$97)</f>
        <v>105335</v>
      </c>
      <c r="E15" s="16" t="n">
        <f aca="false">D15*Assumptions!$B$4</f>
        <v>2106.7</v>
      </c>
      <c r="F15" s="16" t="n">
        <f aca="false">D15+E15</f>
        <v>107441.7</v>
      </c>
      <c r="G15" s="16" t="n">
        <f aca="false">IF(C15=0,"",F15/C15)</f>
        <v>214.027290836653</v>
      </c>
    </row>
    <row r="16" customFormat="false" ht="15" hidden="false" customHeight="false" outlineLevel="0" collapsed="false">
      <c r="A16" s="9" t="s">
        <v>120</v>
      </c>
      <c r="B16" s="8" t="n">
        <f aca="false">COUNTIF('Auction Inventory'!$B$2:$B$97,$A16)</f>
        <v>5</v>
      </c>
      <c r="C16" s="30" t="n">
        <f aca="false">SUMIF('Auction Inventory'!$B$2:$B$97,$A16,'Auction Inventory'!$E$2:$E$97)</f>
        <v>397</v>
      </c>
      <c r="D16" s="11" t="n">
        <f aca="false">SUMIF('Auction Inventory'!$B$2:$B$97,$A16,'Auction Inventory'!$H$2:$H$97)</f>
        <v>62275</v>
      </c>
      <c r="E16" s="11" t="n">
        <f aca="false">D16*Assumptions!$B$4</f>
        <v>1245.5</v>
      </c>
      <c r="F16" s="11" t="n">
        <f aca="false">D16+E16</f>
        <v>63520.5</v>
      </c>
      <c r="G16" s="11" t="n">
        <f aca="false">IF(C16=0,"",F16/C16)</f>
        <v>160.001259445844</v>
      </c>
    </row>
    <row r="17" customFormat="false" ht="15" hidden="false" customHeight="false" outlineLevel="0" collapsed="false">
      <c r="A17" s="14" t="s">
        <v>126</v>
      </c>
      <c r="B17" s="13" t="n">
        <f aca="false">COUNTIF('Auction Inventory'!$B$2:$B$97,$A17)</f>
        <v>4</v>
      </c>
      <c r="C17" s="31" t="n">
        <f aca="false">SUMIF('Auction Inventory'!$B$2:$B$97,$A17,'Auction Inventory'!$E$2:$E$97)</f>
        <v>541</v>
      </c>
      <c r="D17" s="16" t="n">
        <f aca="false">SUMIF('Auction Inventory'!$B$2:$B$97,$A17,'Auction Inventory'!$H$2:$H$97)</f>
        <v>80470</v>
      </c>
      <c r="E17" s="16" t="n">
        <f aca="false">D17*Assumptions!$B$4</f>
        <v>1609.4</v>
      </c>
      <c r="F17" s="16" t="n">
        <f aca="false">D17+E17</f>
        <v>82079.4</v>
      </c>
      <c r="G17" s="16" t="n">
        <f aca="false">IF(C17=0,"",F17/C17)</f>
        <v>151.717929759704</v>
      </c>
    </row>
    <row r="18" customFormat="false" ht="15" hidden="false" customHeight="false" outlineLevel="0" collapsed="false">
      <c r="A18" s="9" t="s">
        <v>131</v>
      </c>
      <c r="B18" s="8" t="n">
        <f aca="false">COUNTIF('Auction Inventory'!$B$2:$B$97,$A18)</f>
        <v>3</v>
      </c>
      <c r="C18" s="30" t="n">
        <f aca="false">SUMIF('Auction Inventory'!$B$2:$B$97,$A18,'Auction Inventory'!$E$2:$E$97)</f>
        <v>517</v>
      </c>
      <c r="D18" s="11" t="n">
        <f aca="false">SUMIF('Auction Inventory'!$B$2:$B$97,$A18,'Auction Inventory'!$H$2:$H$97)</f>
        <v>113470</v>
      </c>
      <c r="E18" s="11" t="n">
        <f aca="false">D18*Assumptions!$B$4</f>
        <v>2269.4</v>
      </c>
      <c r="F18" s="11" t="n">
        <f aca="false">D18+E18</f>
        <v>115739.4</v>
      </c>
      <c r="G18" s="11" t="n">
        <f aca="false">IF(C18=0,"",F18/C18)</f>
        <v>223.867311411992</v>
      </c>
    </row>
    <row r="19" customFormat="false" ht="15" hidden="false" customHeight="false" outlineLevel="0" collapsed="false">
      <c r="A19" s="14" t="s">
        <v>135</v>
      </c>
      <c r="B19" s="13" t="n">
        <f aca="false">COUNTIF('Auction Inventory'!$B$2:$B$97,$A19)</f>
        <v>3</v>
      </c>
      <c r="C19" s="31" t="n">
        <f aca="false">SUMIF('Auction Inventory'!$B$2:$B$97,$A19,'Auction Inventory'!$E$2:$E$97)</f>
        <v>474</v>
      </c>
      <c r="D19" s="16" t="n">
        <f aca="false">SUMIF('Auction Inventory'!$B$2:$B$97,$A19,'Auction Inventory'!$H$2:$H$97)</f>
        <v>85450</v>
      </c>
      <c r="E19" s="16" t="n">
        <f aca="false">D19*Assumptions!$B$4</f>
        <v>1709</v>
      </c>
      <c r="F19" s="16" t="n">
        <f aca="false">D19+E19</f>
        <v>87159</v>
      </c>
      <c r="G19" s="16" t="n">
        <f aca="false">IF(C19=0,"",F19/C19)</f>
        <v>183.879746835443</v>
      </c>
    </row>
    <row r="20" customFormat="false" ht="15" hidden="false" customHeight="false" outlineLevel="0" collapsed="false">
      <c r="A20" s="9" t="s">
        <v>140</v>
      </c>
      <c r="B20" s="8" t="n">
        <f aca="false">COUNTIF('Auction Inventory'!$B$2:$B$97,$A20)</f>
        <v>5</v>
      </c>
      <c r="C20" s="30" t="n">
        <f aca="false">SUMIF('Auction Inventory'!$B$2:$B$97,$A20,'Auction Inventory'!$E$2:$E$97)</f>
        <v>796</v>
      </c>
      <c r="D20" s="11" t="n">
        <f aca="false">SUMIF('Auction Inventory'!$B$2:$B$97,$A20,'Auction Inventory'!$H$2:$H$97)</f>
        <v>116255</v>
      </c>
      <c r="E20" s="11" t="n">
        <f aca="false">D20*Assumptions!$B$4</f>
        <v>2325.1</v>
      </c>
      <c r="F20" s="11" t="n">
        <f aca="false">D20+E20</f>
        <v>118580.1</v>
      </c>
      <c r="G20" s="11" t="n">
        <f aca="false">IF(C20=0,"",F20/C20)</f>
        <v>148.969974874372</v>
      </c>
    </row>
    <row r="21" customFormat="false" ht="15" hidden="false" customHeight="false" outlineLevel="0" collapsed="false">
      <c r="A21" s="14" t="s">
        <v>146</v>
      </c>
      <c r="B21" s="13" t="n">
        <f aca="false">COUNTIF('Auction Inventory'!$B$2:$B$97,$A21)</f>
        <v>3</v>
      </c>
      <c r="C21" s="31" t="n">
        <f aca="false">SUMIF('Auction Inventory'!$B$2:$B$97,$A21,'Auction Inventory'!$E$2:$E$97)</f>
        <v>305</v>
      </c>
      <c r="D21" s="16" t="n">
        <f aca="false">SUMIF('Auction Inventory'!$B$2:$B$97,$A21,'Auction Inventory'!$H$2:$H$97)</f>
        <v>31100</v>
      </c>
      <c r="E21" s="16" t="n">
        <f aca="false">D21*Assumptions!$B$4</f>
        <v>622</v>
      </c>
      <c r="F21" s="16" t="n">
        <f aca="false">D21+E21</f>
        <v>31722</v>
      </c>
      <c r="G21" s="16" t="n">
        <f aca="false">IF(C21=0,"",F21/C21)</f>
        <v>104.006557377049</v>
      </c>
    </row>
    <row r="22" customFormat="false" ht="15" hidden="false" customHeight="false" outlineLevel="0" collapsed="false">
      <c r="A22" s="9" t="s">
        <v>150</v>
      </c>
      <c r="B22" s="8" t="n">
        <f aca="false">COUNTIF('Auction Inventory'!$B$2:$B$97,$A22)</f>
        <v>2</v>
      </c>
      <c r="C22" s="30" t="n">
        <f aca="false">SUMIF('Auction Inventory'!$B$2:$B$97,$A22,'Auction Inventory'!$E$2:$E$97)</f>
        <v>328</v>
      </c>
      <c r="D22" s="11" t="n">
        <f aca="false">SUMIF('Auction Inventory'!$B$2:$B$97,$A22,'Auction Inventory'!$H$2:$H$97)</f>
        <v>60975</v>
      </c>
      <c r="E22" s="11" t="n">
        <f aca="false">D22*Assumptions!$B$4</f>
        <v>1219.5</v>
      </c>
      <c r="F22" s="11" t="n">
        <f aca="false">D22+E22</f>
        <v>62194.5</v>
      </c>
      <c r="G22" s="11" t="n">
        <f aca="false">IF(C22=0,"",F22/C22)</f>
        <v>189.617378048781</v>
      </c>
    </row>
    <row r="23" customFormat="false" ht="15" hidden="false" customHeight="false" outlineLevel="0" collapsed="false">
      <c r="A23" s="14" t="s">
        <v>153</v>
      </c>
      <c r="B23" s="13" t="n">
        <f aca="false">COUNTIF('Auction Inventory'!$B$2:$B$97,$A23)</f>
        <v>2</v>
      </c>
      <c r="C23" s="31" t="n">
        <f aca="false">SUMIF('Auction Inventory'!$B$2:$B$97,$A23,'Auction Inventory'!$E$2:$E$97)</f>
        <v>438</v>
      </c>
      <c r="D23" s="16" t="n">
        <f aca="false">SUMIF('Auction Inventory'!$B$2:$B$97,$A23,'Auction Inventory'!$H$2:$H$97)</f>
        <v>38555</v>
      </c>
      <c r="E23" s="16" t="n">
        <f aca="false">D23*Assumptions!$B$4</f>
        <v>771.1</v>
      </c>
      <c r="F23" s="16" t="n">
        <f aca="false">D23+E23</f>
        <v>39326.1</v>
      </c>
      <c r="G23" s="16" t="n">
        <f aca="false">IF(C23=0,"",F23/C23)</f>
        <v>89.7856164383562</v>
      </c>
    </row>
    <row r="24" customFormat="false" ht="15" hidden="false" customHeight="false" outlineLevel="0" collapsed="false">
      <c r="A24" s="9" t="s">
        <v>157</v>
      </c>
      <c r="B24" s="8" t="n">
        <f aca="false">COUNTIF('Auction Inventory'!$B$2:$B$97,$A24)</f>
        <v>1</v>
      </c>
      <c r="C24" s="30" t="n">
        <f aca="false">SUMIF('Auction Inventory'!$B$2:$B$97,$A24,'Auction Inventory'!$E$2:$E$97)</f>
        <v>20</v>
      </c>
      <c r="D24" s="11" t="n">
        <f aca="false">SUMIF('Auction Inventory'!$B$2:$B$97,$A24,'Auction Inventory'!$H$2:$H$97)</f>
        <v>1300</v>
      </c>
      <c r="E24" s="11" t="n">
        <f aca="false">D24*Assumptions!$B$4</f>
        <v>26</v>
      </c>
      <c r="F24" s="11" t="n">
        <f aca="false">D24+E24</f>
        <v>1326</v>
      </c>
      <c r="G24" s="11" t="n">
        <f aca="false">IF(C24=0,"",F24/C24)</f>
        <v>66.3</v>
      </c>
    </row>
    <row r="25" customFormat="false" ht="15" hidden="false" customHeight="false" outlineLevel="0" collapsed="false">
      <c r="A25" s="14" t="s">
        <v>159</v>
      </c>
      <c r="B25" s="13" t="n">
        <f aca="false">COUNTIF('Auction Inventory'!$B$2:$B$97,$A25)</f>
        <v>2</v>
      </c>
      <c r="C25" s="31" t="n">
        <f aca="false">SUMIF('Auction Inventory'!$B$2:$B$97,$A25,'Auction Inventory'!$E$2:$E$97)</f>
        <v>40</v>
      </c>
      <c r="D25" s="16" t="n">
        <f aca="false">SUMIF('Auction Inventory'!$B$2:$B$97,$A25,'Auction Inventory'!$H$2:$H$97)</f>
        <v>4825</v>
      </c>
      <c r="E25" s="16" t="n">
        <f aca="false">D25*Assumptions!$B$4</f>
        <v>96.5</v>
      </c>
      <c r="F25" s="16" t="n">
        <f aca="false">D25+E25</f>
        <v>4921.5</v>
      </c>
      <c r="G25" s="16" t="n">
        <f aca="false">IF(C25=0,"",F25/C25)</f>
        <v>123.0375</v>
      </c>
    </row>
    <row r="26" customFormat="false" ht="15" hidden="false" customHeight="false" outlineLevel="0" collapsed="false">
      <c r="A26" s="9" t="s">
        <v>162</v>
      </c>
      <c r="B26" s="8" t="n">
        <f aca="false">COUNTIF('Auction Inventory'!$B$2:$B$97,$A26)</f>
        <v>2</v>
      </c>
      <c r="C26" s="30" t="n">
        <f aca="false">SUMIF('Auction Inventory'!$B$2:$B$97,$A26,'Auction Inventory'!$E$2:$E$97)</f>
        <v>40</v>
      </c>
      <c r="D26" s="11" t="n">
        <f aca="false">SUMIF('Auction Inventory'!$B$2:$B$97,$A26,'Auction Inventory'!$H$2:$H$97)</f>
        <v>4025</v>
      </c>
      <c r="E26" s="11" t="n">
        <f aca="false">D26*Assumptions!$B$4</f>
        <v>80.5</v>
      </c>
      <c r="F26" s="11" t="n">
        <f aca="false">D26+E26</f>
        <v>4105.5</v>
      </c>
      <c r="G26" s="11" t="n">
        <f aca="false">IF(C26=0,"",F26/C26)</f>
        <v>102.6375</v>
      </c>
    </row>
    <row r="27" customFormat="false" ht="15" hidden="false" customHeight="false" outlineLevel="0" collapsed="false">
      <c r="A27" s="14" t="s">
        <v>167</v>
      </c>
      <c r="B27" s="13" t="n">
        <f aca="false">COUNTIF('Auction Inventory'!$B$2:$B$97,$A27)</f>
        <v>5</v>
      </c>
      <c r="C27" s="31" t="n">
        <f aca="false">SUMIF('Auction Inventory'!$B$2:$B$97,$A27,'Auction Inventory'!$E$2:$E$97)</f>
        <v>490</v>
      </c>
      <c r="D27" s="16" t="n">
        <f aca="false">SUMIF('Auction Inventory'!$B$2:$B$97,$A27,'Auction Inventory'!$H$2:$H$97)</f>
        <v>38450</v>
      </c>
      <c r="E27" s="16" t="n">
        <f aca="false">D27*Assumptions!$B$4</f>
        <v>769</v>
      </c>
      <c r="F27" s="16" t="n">
        <f aca="false">D27+E27</f>
        <v>39219</v>
      </c>
      <c r="G27" s="16" t="n">
        <f aca="false">IF(C27=0,"",F27/C27)</f>
        <v>80.0387755102041</v>
      </c>
    </row>
    <row r="28" customFormat="false" ht="15" hidden="false" customHeight="false" outlineLevel="0" collapsed="false">
      <c r="A28" s="9" t="s">
        <v>179</v>
      </c>
      <c r="B28" s="8" t="n">
        <f aca="false">COUNTIF('Auction Inventory'!$B$2:$B$97,$A28)</f>
        <v>2</v>
      </c>
      <c r="C28" s="30" t="n">
        <f aca="false">SUMIF('Auction Inventory'!$B$2:$B$97,$A28,'Auction Inventory'!$E$2:$E$97)</f>
        <v>70</v>
      </c>
      <c r="D28" s="11" t="n">
        <f aca="false">SUMIF('Auction Inventory'!$B$2:$B$97,$A28,'Auction Inventory'!$H$2:$H$97)</f>
        <v>2075</v>
      </c>
      <c r="E28" s="11" t="n">
        <f aca="false">D28*Assumptions!$B$4</f>
        <v>41.5</v>
      </c>
      <c r="F28" s="11" t="n">
        <f aca="false">D28+E28</f>
        <v>2116.5</v>
      </c>
      <c r="G28" s="11" t="n">
        <f aca="false">IF(C28=0,"",F28/C28)</f>
        <v>30.2357142857143</v>
      </c>
    </row>
    <row r="29" customFormat="false" ht="15" hidden="false" customHeight="false" outlineLevel="0" collapsed="false">
      <c r="A29" s="14" t="s">
        <v>174</v>
      </c>
      <c r="B29" s="13" t="n">
        <f aca="false">COUNTIF('Auction Inventory'!$B$2:$B$97,$A29)</f>
        <v>3</v>
      </c>
      <c r="C29" s="31" t="n">
        <f aca="false">SUMIF('Auction Inventory'!$B$2:$B$97,$A29,'Auction Inventory'!$E$2:$E$97)</f>
        <v>332</v>
      </c>
      <c r="D29" s="16" t="n">
        <f aca="false">SUMIF('Auction Inventory'!$B$2:$B$97,$A29,'Auction Inventory'!$H$2:$H$97)</f>
        <v>14450</v>
      </c>
      <c r="E29" s="16" t="n">
        <f aca="false">D29*Assumptions!$B$4</f>
        <v>289</v>
      </c>
      <c r="F29" s="16" t="n">
        <f aca="false">D29+E29</f>
        <v>14739</v>
      </c>
      <c r="G29" s="16" t="n">
        <f aca="false">IF(C29=0,"",F29/C29)</f>
        <v>44.394578313253</v>
      </c>
    </row>
    <row r="30" customFormat="false" ht="15" hidden="false" customHeight="false" outlineLevel="0" collapsed="false">
      <c r="A30" s="9" t="s">
        <v>184</v>
      </c>
      <c r="B30" s="8" t="n">
        <f aca="false">COUNTIF('Auction Inventory'!$B$2:$B$97,$A30)</f>
        <v>1</v>
      </c>
      <c r="C30" s="30" t="n">
        <f aca="false">SUMIF('Auction Inventory'!$B$2:$B$97,$A30,'Auction Inventory'!$E$2:$E$97)</f>
        <v>35</v>
      </c>
      <c r="D30" s="11" t="n">
        <f aca="false">SUMIF('Auction Inventory'!$B$2:$B$97,$A30,'Auction Inventory'!$H$2:$H$97)</f>
        <v>1225</v>
      </c>
      <c r="E30" s="11" t="n">
        <f aca="false">D30*Assumptions!$B$4</f>
        <v>24.5</v>
      </c>
      <c r="F30" s="11" t="n">
        <f aca="false">D30+E30</f>
        <v>1249.5</v>
      </c>
      <c r="G30" s="11" t="n">
        <f aca="false">IF(C30=0,"",F30/C30)</f>
        <v>35.7</v>
      </c>
    </row>
    <row r="31" customFormat="false" ht="15" hidden="false" customHeight="false" outlineLevel="0" collapsed="false">
      <c r="A31" s="14" t="s">
        <v>182</v>
      </c>
      <c r="B31" s="13" t="n">
        <f aca="false">COUNTIF('Auction Inventory'!$B$2:$B$97,$A31)</f>
        <v>1</v>
      </c>
      <c r="C31" s="31" t="n">
        <f aca="false">SUMIF('Auction Inventory'!$B$2:$B$97,$A31,'Auction Inventory'!$E$2:$E$97)</f>
        <v>30</v>
      </c>
      <c r="D31" s="16" t="n">
        <f aca="false">SUMIF('Auction Inventory'!$B$2:$B$97,$A31,'Auction Inventory'!$H$2:$H$97)</f>
        <v>2670</v>
      </c>
      <c r="E31" s="16" t="n">
        <f aca="false">D31*Assumptions!$B$4</f>
        <v>53.4</v>
      </c>
      <c r="F31" s="16" t="n">
        <f aca="false">D31+E31</f>
        <v>2723.4</v>
      </c>
      <c r="G31" s="16" t="n">
        <f aca="false">IF(C31=0,"",F31/C31)</f>
        <v>90.78</v>
      </c>
    </row>
    <row r="32" customFormat="false" ht="15" hidden="false" customHeight="false" outlineLevel="0" collapsed="false">
      <c r="A32" s="9" t="s">
        <v>186</v>
      </c>
      <c r="B32" s="8" t="n">
        <f aca="false">COUNTIF('Auction Inventory'!$B$2:$B$97,$A32)</f>
        <v>1</v>
      </c>
      <c r="C32" s="30" t="n">
        <f aca="false">SUMIF('Auction Inventory'!$B$2:$B$97,$A32,'Auction Inventory'!$E$2:$E$97)</f>
        <v>50</v>
      </c>
      <c r="D32" s="11" t="n">
        <f aca="false">SUMIF('Auction Inventory'!$B$2:$B$97,$A32,'Auction Inventory'!$H$2:$H$97)</f>
        <v>610</v>
      </c>
      <c r="E32" s="11" t="n">
        <f aca="false">D32*Assumptions!$B$4</f>
        <v>12.2</v>
      </c>
      <c r="F32" s="11" t="n">
        <f aca="false">D32+E32</f>
        <v>622.2</v>
      </c>
      <c r="G32" s="11" t="n">
        <f aca="false">IF(C32=0,"",F32/C32)</f>
        <v>12.444</v>
      </c>
    </row>
    <row r="33" customFormat="false" ht="15" hidden="false" customHeight="false" outlineLevel="0" collapsed="false">
      <c r="A33" s="20" t="s">
        <v>188</v>
      </c>
      <c r="B33" s="20" t="n">
        <f aca="false">SUM(B2:B32)</f>
        <v>96</v>
      </c>
      <c r="C33" s="19" t="n">
        <f aca="false">SUM(C2:C32)</f>
        <v>8732</v>
      </c>
      <c r="D33" s="21" t="n">
        <f aca="false">SUM(D2:D32)</f>
        <v>1686225</v>
      </c>
      <c r="E33" s="21" t="n">
        <f aca="false">SUM(E2:E32)</f>
        <v>33724.5</v>
      </c>
      <c r="F33" s="21" t="n">
        <f aca="false">SUM(F2:F32)</f>
        <v>1719949.5</v>
      </c>
      <c r="G33" s="21" t="n">
        <f aca="false">IF(C33=0,"",F33/C33)</f>
        <v>196.970854328905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26</v>
      </c>
      <c r="B1" s="7" t="s">
        <v>297</v>
      </c>
      <c r="C1" s="7" t="s">
        <v>27</v>
      </c>
      <c r="D1" s="7" t="s">
        <v>298</v>
      </c>
      <c r="E1" s="7" t="s">
        <v>32</v>
      </c>
      <c r="F1" s="7" t="s">
        <v>33</v>
      </c>
      <c r="G1" s="7" t="s">
        <v>299</v>
      </c>
    </row>
    <row r="2" customFormat="false" ht="15" hidden="false" customHeight="false" outlineLevel="0" collapsed="false">
      <c r="A2" s="9" t="s">
        <v>48</v>
      </c>
      <c r="B2" s="8" t="n">
        <f aca="false">COUNTIF('Auction Inventory'!$D$2:$D$97,$A2)</f>
        <v>19</v>
      </c>
      <c r="C2" s="30" t="n">
        <f aca="false">SUMIF('Auction Inventory'!$D$2:$D$97,$A2,'Auction Inventory'!$E$2:$E$97)</f>
        <v>402</v>
      </c>
      <c r="D2" s="11" t="n">
        <f aca="false">SUMIF('Auction Inventory'!$D$2:$D$97,$A2,'Auction Inventory'!$H$2:$H$97)</f>
        <v>121020</v>
      </c>
      <c r="E2" s="11" t="n">
        <f aca="false">D2*Assumptions!$B$4</f>
        <v>2420.4</v>
      </c>
      <c r="F2" s="11" t="n">
        <f aca="false">D2+E2</f>
        <v>123440.4</v>
      </c>
      <c r="G2" s="11" t="n">
        <f aca="false">IF(C2=0,"",F2/C2)</f>
        <v>307.065671641791</v>
      </c>
    </row>
    <row r="3" customFormat="false" ht="15" hidden="false" customHeight="false" outlineLevel="0" collapsed="false">
      <c r="A3" s="14" t="s">
        <v>172</v>
      </c>
      <c r="B3" s="13" t="n">
        <f aca="false">COUNTIF('Auction Inventory'!$D$2:$D$97,$A3)</f>
        <v>1</v>
      </c>
      <c r="C3" s="31" t="n">
        <f aca="false">SUMIF('Auction Inventory'!$D$2:$D$97,$A3,'Auction Inventory'!$E$2:$E$97)</f>
        <v>30</v>
      </c>
      <c r="D3" s="16" t="n">
        <f aca="false">SUMIF('Auction Inventory'!$D$2:$D$97,$A3,'Auction Inventory'!$H$2:$H$97)</f>
        <v>2550</v>
      </c>
      <c r="E3" s="16" t="n">
        <f aca="false">D3*Assumptions!$B$4</f>
        <v>51</v>
      </c>
      <c r="F3" s="16" t="n">
        <f aca="false">D3+E3</f>
        <v>2601</v>
      </c>
      <c r="G3" s="16" t="n">
        <f aca="false">IF(C3=0,"",F3/C3)</f>
        <v>86.7</v>
      </c>
    </row>
    <row r="4" customFormat="false" ht="15" hidden="false" customHeight="false" outlineLevel="0" collapsed="false">
      <c r="A4" s="9" t="s">
        <v>53</v>
      </c>
      <c r="B4" s="8" t="n">
        <f aca="false">COUNTIF('Auction Inventory'!$D$2:$D$97,$A4)</f>
        <v>27</v>
      </c>
      <c r="C4" s="30" t="n">
        <f aca="false">SUMIF('Auction Inventory'!$D$2:$D$97,$A4,'Auction Inventory'!$E$2:$E$97)</f>
        <v>1323</v>
      </c>
      <c r="D4" s="11" t="n">
        <f aca="false">SUMIF('Auction Inventory'!$D$2:$D$97,$A4,'Auction Inventory'!$H$2:$H$97)</f>
        <v>277515</v>
      </c>
      <c r="E4" s="11" t="n">
        <f aca="false">D4*Assumptions!$B$4</f>
        <v>5550.3</v>
      </c>
      <c r="F4" s="11" t="n">
        <f aca="false">D4+E4</f>
        <v>283065.3</v>
      </c>
      <c r="G4" s="11" t="n">
        <f aca="false">IF(C4=0,"",F4/C4)</f>
        <v>213.957142857143</v>
      </c>
    </row>
    <row r="5" customFormat="false" ht="15" hidden="false" customHeight="false" outlineLevel="0" collapsed="false">
      <c r="A5" s="14" t="s">
        <v>176</v>
      </c>
      <c r="B5" s="13" t="n">
        <f aca="false">COUNTIF('Auction Inventory'!$D$2:$D$97,$A5)</f>
        <v>2</v>
      </c>
      <c r="C5" s="31" t="n">
        <f aca="false">SUMIF('Auction Inventory'!$D$2:$D$97,$A5,'Auction Inventory'!$E$2:$E$97)</f>
        <v>90</v>
      </c>
      <c r="D5" s="16" t="n">
        <f aca="false">SUMIF('Auction Inventory'!$D$2:$D$97,$A5,'Auction Inventory'!$H$2:$H$97)</f>
        <v>2210</v>
      </c>
      <c r="E5" s="16" t="n">
        <f aca="false">D5*Assumptions!$B$4</f>
        <v>44.2</v>
      </c>
      <c r="F5" s="16" t="n">
        <f aca="false">D5+E5</f>
        <v>2254.2</v>
      </c>
      <c r="G5" s="16" t="n">
        <f aca="false">IF(C5=0,"",F5/C5)</f>
        <v>25.0466666666667</v>
      </c>
    </row>
    <row r="6" customFormat="false" ht="15" hidden="false" customHeight="false" outlineLevel="0" collapsed="false">
      <c r="A6" s="9" t="s">
        <v>60</v>
      </c>
      <c r="B6" s="8" t="n">
        <f aca="false">COUNTIF('Auction Inventory'!$D$2:$D$97,$A6)</f>
        <v>45</v>
      </c>
      <c r="C6" s="30" t="n">
        <f aca="false">SUMIF('Auction Inventory'!$D$2:$D$97,$A6,'Auction Inventory'!$E$2:$E$97)</f>
        <v>6847</v>
      </c>
      <c r="D6" s="11" t="n">
        <f aca="false">SUMIF('Auction Inventory'!$D$2:$D$97,$A6,'Auction Inventory'!$H$2:$H$97)</f>
        <v>1255655</v>
      </c>
      <c r="E6" s="11" t="n">
        <f aca="false">D6*Assumptions!$B$4</f>
        <v>25113.1</v>
      </c>
      <c r="F6" s="11" t="n">
        <f aca="false">D6+E6</f>
        <v>1280768.1</v>
      </c>
      <c r="G6" s="11" t="n">
        <f aca="false">IF(C6=0,"",F6/C6)</f>
        <v>187.055367314152</v>
      </c>
    </row>
    <row r="7" customFormat="false" ht="15" hidden="false" customHeight="false" outlineLevel="0" collapsed="false">
      <c r="A7" s="14" t="s">
        <v>41</v>
      </c>
      <c r="B7" s="13" t="n">
        <f aca="false">COUNTIF('Auction Inventory'!$D$2:$D$97,$A7)</f>
        <v>2</v>
      </c>
      <c r="C7" s="31" t="n">
        <f aca="false">SUMIF('Auction Inventory'!$D$2:$D$97,$A7,'Auction Inventory'!$E$2:$E$97)</f>
        <v>40</v>
      </c>
      <c r="D7" s="16" t="n">
        <f aca="false">SUMIF('Auction Inventory'!$D$2:$D$97,$A7,'Auction Inventory'!$H$2:$H$97)</f>
        <v>27275</v>
      </c>
      <c r="E7" s="16" t="n">
        <f aca="false">D7*Assumptions!$B$4</f>
        <v>545.5</v>
      </c>
      <c r="F7" s="16" t="n">
        <f aca="false">D7+E7</f>
        <v>27820.5</v>
      </c>
      <c r="G7" s="16" t="n">
        <f aca="false">IF(C7=0,"",F7/C7)</f>
        <v>695.5125</v>
      </c>
    </row>
    <row r="8" customFormat="false" ht="15" hidden="false" customHeight="false" outlineLevel="0" collapsed="false">
      <c r="A8" s="20" t="s">
        <v>188</v>
      </c>
      <c r="B8" s="20" t="n">
        <f aca="false">SUM(B2:B7)</f>
        <v>96</v>
      </c>
      <c r="C8" s="19" t="n">
        <f aca="false">SUM(C2:C7)</f>
        <v>8732</v>
      </c>
      <c r="D8" s="21" t="n">
        <f aca="false">SUM(D2:D7)</f>
        <v>1686225</v>
      </c>
      <c r="E8" s="21" t="n">
        <f aca="false">SUM(E2:E7)</f>
        <v>33724.5</v>
      </c>
      <c r="F8" s="21" t="n">
        <f aca="false">SUM(F2:F7)</f>
        <v>1719949.5</v>
      </c>
      <c r="G8" s="21" t="n">
        <f aca="false">IF(C8=0,"",F8/C8)</f>
        <v>196.970854328905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0"/>
  </cols>
  <sheetData>
    <row r="1" customFormat="false" ht="30" hidden="false" customHeight="true" outlineLevel="0" collapsed="false">
      <c r="A1" s="7" t="s">
        <v>25</v>
      </c>
      <c r="B1" s="7" t="s">
        <v>297</v>
      </c>
      <c r="C1" s="7" t="s">
        <v>27</v>
      </c>
      <c r="D1" s="7" t="s">
        <v>298</v>
      </c>
      <c r="E1" s="7" t="s">
        <v>32</v>
      </c>
      <c r="F1" s="7" t="s">
        <v>33</v>
      </c>
      <c r="G1" s="7" t="s">
        <v>299</v>
      </c>
    </row>
    <row r="2" customFormat="false" ht="15" hidden="false" customHeight="false" outlineLevel="0" collapsed="false">
      <c r="A2" s="9" t="s">
        <v>74</v>
      </c>
      <c r="B2" s="8" t="n">
        <f aca="false">COUNTIF('Auction Inventory'!$C$2:$C$97,$A2)</f>
        <v>41</v>
      </c>
      <c r="C2" s="30" t="n">
        <f aca="false">SUMIF('Auction Inventory'!$C$2:$C$97,$A2,'Auction Inventory'!$E$2:$E$97)</f>
        <v>6097</v>
      </c>
      <c r="D2" s="11" t="n">
        <f aca="false">SUMIF('Auction Inventory'!$C$2:$C$97,$A2,'Auction Inventory'!$H$2:$H$97)</f>
        <v>1166355</v>
      </c>
      <c r="E2" s="11" t="n">
        <f aca="false">D2*Assumptions!$B$4</f>
        <v>23327.1</v>
      </c>
      <c r="F2" s="11" t="n">
        <f aca="false">D2+E2</f>
        <v>1189682.1</v>
      </c>
      <c r="G2" s="11" t="n">
        <f aca="false">IF(C2=0,"",F2/C2)</f>
        <v>195.12581597507</v>
      </c>
    </row>
    <row r="3" customFormat="false" ht="15" hidden="false" customHeight="false" outlineLevel="0" collapsed="false">
      <c r="A3" s="14" t="s">
        <v>63</v>
      </c>
      <c r="B3" s="13" t="n">
        <f aca="false">COUNTIF('Auction Inventory'!$C$2:$C$97,$A3)</f>
        <v>2</v>
      </c>
      <c r="C3" s="31" t="n">
        <f aca="false">SUMIF('Auction Inventory'!$C$2:$C$97,$A3,'Auction Inventory'!$E$2:$E$97)</f>
        <v>40</v>
      </c>
      <c r="D3" s="16" t="n">
        <f aca="false">SUMIF('Auction Inventory'!$C$2:$C$97,$A3,'Auction Inventory'!$H$2:$H$97)</f>
        <v>17000</v>
      </c>
      <c r="E3" s="16" t="n">
        <f aca="false">D3*Assumptions!$B$4</f>
        <v>340</v>
      </c>
      <c r="F3" s="16" t="n">
        <f aca="false">D3+E3</f>
        <v>17340</v>
      </c>
      <c r="G3" s="16" t="n">
        <f aca="false">IF(C3=0,"",F3/C3)</f>
        <v>433.5</v>
      </c>
    </row>
    <row r="4" customFormat="false" ht="15" hidden="false" customHeight="false" outlineLevel="0" collapsed="false">
      <c r="A4" s="9" t="s">
        <v>47</v>
      </c>
      <c r="B4" s="8" t="n">
        <f aca="false">COUNTIF('Auction Inventory'!$C$2:$C$97,$A4)</f>
        <v>24</v>
      </c>
      <c r="C4" s="30" t="n">
        <f aca="false">SUMIF('Auction Inventory'!$C$2:$C$97,$A4,'Auction Inventory'!$E$2:$E$97)</f>
        <v>870</v>
      </c>
      <c r="D4" s="11" t="n">
        <f aca="false">SUMIF('Auction Inventory'!$C$2:$C$97,$A4,'Auction Inventory'!$H$2:$H$97)</f>
        <v>297777</v>
      </c>
      <c r="E4" s="11" t="n">
        <f aca="false">D4*Assumptions!$B$4</f>
        <v>5955.54</v>
      </c>
      <c r="F4" s="11" t="n">
        <f aca="false">D4+E4</f>
        <v>303732.54</v>
      </c>
      <c r="G4" s="11" t="n">
        <f aca="false">IF(C4=0,"",F4/C4)</f>
        <v>349.117862068966</v>
      </c>
    </row>
    <row r="5" customFormat="false" ht="15" hidden="false" customHeight="false" outlineLevel="0" collapsed="false">
      <c r="A5" s="14" t="s">
        <v>40</v>
      </c>
      <c r="B5" s="13" t="n">
        <f aca="false">COUNTIF('Auction Inventory'!$C$2:$C$97,$A5)</f>
        <v>14</v>
      </c>
      <c r="C5" s="31" t="n">
        <f aca="false">SUMIF('Auction Inventory'!$C$2:$C$97,$A5,'Auction Inventory'!$E$2:$E$97)</f>
        <v>280</v>
      </c>
      <c r="D5" s="16" t="n">
        <f aca="false">SUMIF('Auction Inventory'!$C$2:$C$97,$A5,'Auction Inventory'!$H$2:$H$97)</f>
        <v>106633</v>
      </c>
      <c r="E5" s="16" t="n">
        <f aca="false">D5*Assumptions!$B$4</f>
        <v>2132.66</v>
      </c>
      <c r="F5" s="16" t="n">
        <f aca="false">D5+E5</f>
        <v>108765.66</v>
      </c>
      <c r="G5" s="16" t="n">
        <f aca="false">IF(C5=0,"",F5/C5)</f>
        <v>388.448785714286</v>
      </c>
    </row>
    <row r="6" customFormat="false" ht="15" hidden="false" customHeight="false" outlineLevel="0" collapsed="false">
      <c r="A6" s="9" t="s">
        <v>154</v>
      </c>
      <c r="B6" s="8" t="n">
        <f aca="false">COUNTIF('Auction Inventory'!$C$2:$C$97,$A6)</f>
        <v>8</v>
      </c>
      <c r="C6" s="30" t="n">
        <f aca="false">SUMIF('Auction Inventory'!$C$2:$C$97,$A6,'Auction Inventory'!$E$2:$E$97)</f>
        <v>1210</v>
      </c>
      <c r="D6" s="11" t="n">
        <f aca="false">SUMIF('Auction Inventory'!$C$2:$C$97,$A6,'Auction Inventory'!$H$2:$H$97)</f>
        <v>87530</v>
      </c>
      <c r="E6" s="11" t="n">
        <f aca="false">D6*Assumptions!$B$4</f>
        <v>1750.6</v>
      </c>
      <c r="F6" s="11" t="n">
        <f aca="false">D6+E6</f>
        <v>89280.6</v>
      </c>
      <c r="G6" s="11" t="n">
        <f aca="false">IF(C6=0,"",F6/C6)</f>
        <v>73.7856198347107</v>
      </c>
    </row>
    <row r="7" customFormat="false" ht="15" hidden="false" customHeight="false" outlineLevel="0" collapsed="false">
      <c r="A7" s="14" t="s">
        <v>164</v>
      </c>
      <c r="B7" s="13" t="n">
        <f aca="false">COUNTIF('Auction Inventory'!$C$2:$C$97,$A7)</f>
        <v>7</v>
      </c>
      <c r="C7" s="31" t="n">
        <f aca="false">SUMIF('Auction Inventory'!$C$2:$C$97,$A7,'Auction Inventory'!$E$2:$E$97)</f>
        <v>235</v>
      </c>
      <c r="D7" s="16" t="n">
        <f aca="false">SUMIF('Auction Inventory'!$C$2:$C$97,$A7,'Auction Inventory'!$H$2:$H$97)</f>
        <v>10930</v>
      </c>
      <c r="E7" s="16" t="n">
        <f aca="false">D7*Assumptions!$B$4</f>
        <v>218.6</v>
      </c>
      <c r="F7" s="16" t="n">
        <f aca="false">D7+E7</f>
        <v>11148.6</v>
      </c>
      <c r="G7" s="16" t="n">
        <f aca="false">IF(C7=0,"",F7/C7)</f>
        <v>47.4408510638298</v>
      </c>
    </row>
    <row r="8" customFormat="false" ht="15" hidden="false" customHeight="false" outlineLevel="0" collapsed="false">
      <c r="A8" s="20" t="s">
        <v>188</v>
      </c>
      <c r="B8" s="20" t="n">
        <f aca="false">SUM(B2:B7)</f>
        <v>96</v>
      </c>
      <c r="C8" s="19" t="n">
        <f aca="false">SUM(C2:C7)</f>
        <v>8732</v>
      </c>
      <c r="D8" s="21" t="n">
        <f aca="false">SUM(D2:D7)</f>
        <v>1686225</v>
      </c>
      <c r="E8" s="21" t="n">
        <f aca="false">SUM(E2:E7)</f>
        <v>33724.5</v>
      </c>
      <c r="F8" s="21" t="n">
        <f aca="false">SUM(F2:F7)</f>
        <v>1719949.5</v>
      </c>
      <c r="G8" s="21" t="n">
        <f aca="false">IF(C8=0,"",F8/C8)</f>
        <v>196.970854328905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80"/>
  </cols>
  <sheetData>
    <row r="1" customFormat="false" ht="42" hidden="false" customHeight="true" outlineLevel="0" collapsed="false">
      <c r="A1" s="7" t="s">
        <v>24</v>
      </c>
      <c r="B1" s="7" t="s">
        <v>25</v>
      </c>
      <c r="C1" s="7" t="s">
        <v>300</v>
      </c>
      <c r="D1" s="7" t="s">
        <v>301</v>
      </c>
      <c r="E1" s="7" t="s">
        <v>302</v>
      </c>
      <c r="F1" s="7" t="s">
        <v>303</v>
      </c>
      <c r="G1" s="7" t="s">
        <v>304</v>
      </c>
      <c r="H1" s="7" t="s">
        <v>305</v>
      </c>
    </row>
    <row r="2" customFormat="false" ht="15" hidden="false" customHeight="false" outlineLevel="0" collapsed="false">
      <c r="A2" s="9" t="s">
        <v>39</v>
      </c>
      <c r="B2" s="9" t="s">
        <v>63</v>
      </c>
      <c r="C2" s="9" t="s">
        <v>306</v>
      </c>
      <c r="D2" s="9" t="s">
        <v>307</v>
      </c>
      <c r="E2" s="9" t="s">
        <v>308</v>
      </c>
      <c r="F2" s="11" t="n">
        <v>1349.99</v>
      </c>
      <c r="G2" s="9" t="s">
        <v>309</v>
      </c>
      <c r="H2" s="9" t="s">
        <v>310</v>
      </c>
    </row>
    <row r="3" customFormat="false" ht="15" hidden="false" customHeight="false" outlineLevel="0" collapsed="false">
      <c r="A3" s="14" t="s">
        <v>39</v>
      </c>
      <c r="B3" s="14" t="s">
        <v>40</v>
      </c>
      <c r="C3" s="14" t="s">
        <v>311</v>
      </c>
      <c r="D3" s="14" t="s">
        <v>41</v>
      </c>
      <c r="E3" s="14" t="s">
        <v>308</v>
      </c>
      <c r="F3" s="16" t="n">
        <v>1199</v>
      </c>
      <c r="G3" s="14" t="s">
        <v>309</v>
      </c>
      <c r="H3" s="14" t="s">
        <v>312</v>
      </c>
    </row>
    <row r="4" customFormat="false" ht="15" hidden="false" customHeight="false" outlineLevel="0" collapsed="false">
      <c r="A4" s="9" t="s">
        <v>39</v>
      </c>
      <c r="B4" s="9" t="s">
        <v>40</v>
      </c>
      <c r="C4" s="9" t="s">
        <v>306</v>
      </c>
      <c r="D4" s="9" t="s">
        <v>307</v>
      </c>
      <c r="E4" s="9" t="s">
        <v>308</v>
      </c>
      <c r="F4" s="11" t="n">
        <v>1219.99</v>
      </c>
      <c r="G4" s="9" t="s">
        <v>309</v>
      </c>
      <c r="H4" s="9" t="s">
        <v>313</v>
      </c>
    </row>
    <row r="5" customFormat="false" ht="15" hidden="false" customHeight="false" outlineLevel="0" collapsed="false">
      <c r="A5" s="14" t="s">
        <v>39</v>
      </c>
      <c r="B5" s="14" t="s">
        <v>40</v>
      </c>
      <c r="C5" s="14" t="s">
        <v>311</v>
      </c>
      <c r="D5" s="14" t="s">
        <v>41</v>
      </c>
      <c r="E5" s="14" t="s">
        <v>308</v>
      </c>
      <c r="F5" s="16" t="n">
        <v>1442.49</v>
      </c>
      <c r="G5" s="14" t="s">
        <v>309</v>
      </c>
      <c r="H5" s="14" t="s">
        <v>314</v>
      </c>
    </row>
    <row r="6" customFormat="false" ht="15" hidden="false" customHeight="false" outlineLevel="0" collapsed="false">
      <c r="A6" s="9" t="s">
        <v>39</v>
      </c>
      <c r="B6" s="9" t="s">
        <v>40</v>
      </c>
      <c r="C6" s="9" t="s">
        <v>315</v>
      </c>
      <c r="D6" s="9" t="s">
        <v>41</v>
      </c>
      <c r="E6" s="9" t="s">
        <v>308</v>
      </c>
      <c r="F6" s="11" t="n">
        <v>1479</v>
      </c>
      <c r="G6" s="9" t="s">
        <v>309</v>
      </c>
      <c r="H6" s="9" t="s">
        <v>316</v>
      </c>
    </row>
    <row r="7" customFormat="false" ht="15" hidden="false" customHeight="false" outlineLevel="0" collapsed="false">
      <c r="A7" s="14" t="s">
        <v>39</v>
      </c>
      <c r="B7" s="14" t="s">
        <v>47</v>
      </c>
      <c r="C7" s="14" t="s">
        <v>306</v>
      </c>
      <c r="D7" s="14" t="s">
        <v>307</v>
      </c>
      <c r="E7" s="14" t="s">
        <v>317</v>
      </c>
      <c r="F7" s="16" t="n">
        <v>730</v>
      </c>
      <c r="G7" s="14" t="s">
        <v>309</v>
      </c>
      <c r="H7" s="14" t="s">
        <v>318</v>
      </c>
    </row>
    <row r="8" customFormat="false" ht="15" hidden="false" customHeight="false" outlineLevel="0" collapsed="false">
      <c r="A8" s="9" t="s">
        <v>39</v>
      </c>
      <c r="B8" s="9" t="s">
        <v>47</v>
      </c>
      <c r="C8" s="9" t="s">
        <v>306</v>
      </c>
      <c r="D8" s="9" t="s">
        <v>307</v>
      </c>
      <c r="E8" s="9" t="s">
        <v>317</v>
      </c>
      <c r="F8" s="11" t="n">
        <v>890</v>
      </c>
      <c r="G8" s="9" t="s">
        <v>309</v>
      </c>
      <c r="H8" s="9" t="s">
        <v>319</v>
      </c>
    </row>
    <row r="9" customFormat="false" ht="15" hidden="false" customHeight="false" outlineLevel="0" collapsed="false">
      <c r="A9" s="14" t="s">
        <v>39</v>
      </c>
      <c r="B9" s="14" t="s">
        <v>47</v>
      </c>
      <c r="C9" s="14" t="s">
        <v>311</v>
      </c>
      <c r="D9" s="14" t="s">
        <v>41</v>
      </c>
      <c r="E9" s="14" t="s">
        <v>57</v>
      </c>
      <c r="F9" s="16" t="n">
        <v>900</v>
      </c>
      <c r="G9" s="14" t="s">
        <v>309</v>
      </c>
      <c r="H9" s="14" t="s">
        <v>320</v>
      </c>
    </row>
    <row r="10" customFormat="false" ht="15" hidden="false" customHeight="false" outlineLevel="0" collapsed="false">
      <c r="A10" s="9" t="s">
        <v>39</v>
      </c>
      <c r="B10" s="9" t="s">
        <v>47</v>
      </c>
      <c r="C10" s="9" t="s">
        <v>311</v>
      </c>
      <c r="D10" s="9" t="s">
        <v>41</v>
      </c>
      <c r="E10" s="9" t="s">
        <v>308</v>
      </c>
      <c r="F10" s="11" t="n">
        <v>900</v>
      </c>
      <c r="G10" s="9" t="s">
        <v>309</v>
      </c>
      <c r="H10" s="9" t="s">
        <v>321</v>
      </c>
    </row>
    <row r="11" customFormat="false" ht="15" hidden="false" customHeight="false" outlineLevel="0" collapsed="false">
      <c r="A11" s="14" t="s">
        <v>39</v>
      </c>
      <c r="B11" s="14" t="s">
        <v>47</v>
      </c>
      <c r="C11" s="14" t="s">
        <v>306</v>
      </c>
      <c r="D11" s="14" t="s">
        <v>307</v>
      </c>
      <c r="E11" s="14" t="s">
        <v>308</v>
      </c>
      <c r="F11" s="16" t="n">
        <v>938</v>
      </c>
      <c r="G11" s="14" t="s">
        <v>309</v>
      </c>
      <c r="H11" s="14" t="s">
        <v>322</v>
      </c>
    </row>
    <row r="12" customFormat="false" ht="15" hidden="false" customHeight="false" outlineLevel="0" collapsed="false">
      <c r="A12" s="9" t="s">
        <v>39</v>
      </c>
      <c r="B12" s="9" t="s">
        <v>47</v>
      </c>
      <c r="C12" s="9" t="s">
        <v>306</v>
      </c>
      <c r="D12" s="9" t="s">
        <v>307</v>
      </c>
      <c r="E12" s="9" t="s">
        <v>308</v>
      </c>
      <c r="F12" s="11" t="n">
        <v>950</v>
      </c>
      <c r="G12" s="9" t="s">
        <v>309</v>
      </c>
      <c r="H12" s="9" t="s">
        <v>323</v>
      </c>
    </row>
    <row r="13" customFormat="false" ht="15" hidden="false" customHeight="false" outlineLevel="0" collapsed="false">
      <c r="A13" s="14" t="s">
        <v>39</v>
      </c>
      <c r="B13" s="14" t="s">
        <v>47</v>
      </c>
      <c r="C13" s="14" t="s">
        <v>311</v>
      </c>
      <c r="D13" s="14" t="s">
        <v>41</v>
      </c>
      <c r="E13" s="14" t="s">
        <v>308</v>
      </c>
      <c r="F13" s="16" t="n">
        <v>975.99</v>
      </c>
      <c r="G13" s="14" t="s">
        <v>309</v>
      </c>
      <c r="H13" s="14" t="s">
        <v>324</v>
      </c>
    </row>
    <row r="14" customFormat="false" ht="15" hidden="false" customHeight="false" outlineLevel="0" collapsed="false">
      <c r="A14" s="9" t="s">
        <v>39</v>
      </c>
      <c r="B14" s="9" t="s">
        <v>47</v>
      </c>
      <c r="C14" s="9" t="s">
        <v>306</v>
      </c>
      <c r="D14" s="9" t="s">
        <v>307</v>
      </c>
      <c r="E14" s="9" t="s">
        <v>57</v>
      </c>
      <c r="F14" s="11" t="n">
        <v>1000</v>
      </c>
      <c r="G14" s="9" t="s">
        <v>309</v>
      </c>
      <c r="H14" s="9" t="s">
        <v>325</v>
      </c>
    </row>
    <row r="15" customFormat="false" ht="15" hidden="false" customHeight="false" outlineLevel="0" collapsed="false">
      <c r="A15" s="14" t="s">
        <v>39</v>
      </c>
      <c r="B15" s="14" t="s">
        <v>47</v>
      </c>
      <c r="C15" s="14" t="s">
        <v>306</v>
      </c>
      <c r="D15" s="14" t="s">
        <v>307</v>
      </c>
      <c r="E15" s="14" t="s">
        <v>308</v>
      </c>
      <c r="F15" s="16" t="n">
        <v>1000</v>
      </c>
      <c r="G15" s="14" t="s">
        <v>309</v>
      </c>
      <c r="H15" s="14" t="s">
        <v>326</v>
      </c>
    </row>
    <row r="16" customFormat="false" ht="15" hidden="false" customHeight="false" outlineLevel="0" collapsed="false">
      <c r="A16" s="9" t="s">
        <v>39</v>
      </c>
      <c r="B16" s="9" t="s">
        <v>47</v>
      </c>
      <c r="C16" s="9" t="s">
        <v>306</v>
      </c>
      <c r="D16" s="9" t="s">
        <v>307</v>
      </c>
      <c r="E16" s="9" t="s">
        <v>308</v>
      </c>
      <c r="F16" s="11" t="n">
        <v>1000</v>
      </c>
      <c r="G16" s="9" t="s">
        <v>309</v>
      </c>
      <c r="H16" s="9" t="s">
        <v>327</v>
      </c>
    </row>
    <row r="17" customFormat="false" ht="15" hidden="false" customHeight="false" outlineLevel="0" collapsed="false">
      <c r="A17" s="14" t="s">
        <v>39</v>
      </c>
      <c r="B17" s="14" t="s">
        <v>47</v>
      </c>
      <c r="C17" s="14" t="s">
        <v>306</v>
      </c>
      <c r="D17" s="14" t="s">
        <v>307</v>
      </c>
      <c r="E17" s="14" t="s">
        <v>308</v>
      </c>
      <c r="F17" s="16" t="n">
        <v>1000</v>
      </c>
      <c r="G17" s="14" t="s">
        <v>309</v>
      </c>
      <c r="H17" s="14" t="s">
        <v>328</v>
      </c>
    </row>
    <row r="18" customFormat="false" ht="15" hidden="false" customHeight="false" outlineLevel="0" collapsed="false">
      <c r="A18" s="9" t="s">
        <v>39</v>
      </c>
      <c r="B18" s="9" t="s">
        <v>47</v>
      </c>
      <c r="C18" s="9" t="s">
        <v>315</v>
      </c>
      <c r="D18" s="9" t="s">
        <v>41</v>
      </c>
      <c r="E18" s="9" t="s">
        <v>308</v>
      </c>
      <c r="F18" s="11" t="n">
        <v>1059</v>
      </c>
      <c r="G18" s="9" t="s">
        <v>309</v>
      </c>
      <c r="H18" s="9" t="s">
        <v>329</v>
      </c>
    </row>
    <row r="19" customFormat="false" ht="15" hidden="false" customHeight="false" outlineLevel="0" collapsed="false">
      <c r="A19" s="14" t="s">
        <v>39</v>
      </c>
      <c r="B19" s="14" t="s">
        <v>47</v>
      </c>
      <c r="C19" s="14" t="s">
        <v>330</v>
      </c>
      <c r="D19" s="14" t="s">
        <v>48</v>
      </c>
      <c r="E19" s="14" t="s">
        <v>308</v>
      </c>
      <c r="F19" s="16" t="n">
        <v>1124.99</v>
      </c>
      <c r="G19" s="14" t="s">
        <v>309</v>
      </c>
      <c r="H19" s="14" t="s">
        <v>331</v>
      </c>
    </row>
    <row r="20" customFormat="false" ht="15" hidden="false" customHeight="false" outlineLevel="0" collapsed="false">
      <c r="A20" s="9" t="s">
        <v>39</v>
      </c>
      <c r="B20" s="9" t="s">
        <v>47</v>
      </c>
      <c r="C20" s="9" t="s">
        <v>311</v>
      </c>
      <c r="D20" s="9" t="s">
        <v>41</v>
      </c>
      <c r="E20" s="9" t="s">
        <v>308</v>
      </c>
      <c r="F20" s="11" t="n">
        <v>1199.99</v>
      </c>
      <c r="G20" s="9" t="s">
        <v>309</v>
      </c>
      <c r="H20" s="9" t="s">
        <v>332</v>
      </c>
    </row>
    <row r="21" customFormat="false" ht="15" hidden="false" customHeight="false" outlineLevel="0" collapsed="false">
      <c r="A21" s="14" t="s">
        <v>39</v>
      </c>
      <c r="B21" s="14" t="s">
        <v>47</v>
      </c>
      <c r="C21" s="14" t="s">
        <v>315</v>
      </c>
      <c r="D21" s="14" t="s">
        <v>41</v>
      </c>
      <c r="E21" s="14" t="s">
        <v>308</v>
      </c>
      <c r="F21" s="16" t="n">
        <v>1339.99</v>
      </c>
      <c r="G21" s="14" t="s">
        <v>309</v>
      </c>
      <c r="H21" s="14" t="s">
        <v>333</v>
      </c>
    </row>
    <row r="22" customFormat="false" ht="15" hidden="false" customHeight="false" outlineLevel="0" collapsed="false">
      <c r="A22" s="9" t="s">
        <v>39</v>
      </c>
      <c r="B22" s="9" t="s">
        <v>334</v>
      </c>
      <c r="C22" s="9" t="s">
        <v>315</v>
      </c>
      <c r="D22" s="9" t="s">
        <v>41</v>
      </c>
      <c r="E22" s="9" t="s">
        <v>335</v>
      </c>
      <c r="F22" s="11" t="n">
        <v>1000</v>
      </c>
      <c r="G22" s="9" t="s">
        <v>309</v>
      </c>
      <c r="H22" s="9" t="s">
        <v>336</v>
      </c>
    </row>
    <row r="23" customFormat="false" ht="15" hidden="false" customHeight="false" outlineLevel="0" collapsed="false">
      <c r="A23" s="14" t="s">
        <v>39</v>
      </c>
      <c r="B23" s="14" t="s">
        <v>334</v>
      </c>
      <c r="C23" s="14" t="s">
        <v>311</v>
      </c>
      <c r="D23" s="14" t="s">
        <v>41</v>
      </c>
      <c r="E23" s="14" t="s">
        <v>308</v>
      </c>
      <c r="F23" s="16" t="n">
        <v>1550</v>
      </c>
      <c r="G23" s="14" t="s">
        <v>309</v>
      </c>
      <c r="H23" s="14" t="s">
        <v>337</v>
      </c>
    </row>
    <row r="24" customFormat="false" ht="15" hidden="false" customHeight="false" outlineLevel="0" collapsed="false">
      <c r="A24" s="9" t="s">
        <v>52</v>
      </c>
      <c r="B24" s="9" t="s">
        <v>47</v>
      </c>
      <c r="C24" s="9" t="s">
        <v>311</v>
      </c>
      <c r="D24" s="9" t="s">
        <v>41</v>
      </c>
      <c r="E24" s="9" t="s">
        <v>317</v>
      </c>
      <c r="F24" s="11" t="n">
        <v>899.99</v>
      </c>
      <c r="G24" s="9" t="s">
        <v>309</v>
      </c>
      <c r="H24" s="9" t="s">
        <v>338</v>
      </c>
    </row>
    <row r="25" customFormat="false" ht="15" hidden="false" customHeight="false" outlineLevel="0" collapsed="false">
      <c r="A25" s="14" t="s">
        <v>52</v>
      </c>
      <c r="B25" s="14" t="s">
        <v>47</v>
      </c>
      <c r="C25" s="14" t="s">
        <v>306</v>
      </c>
      <c r="D25" s="14" t="s">
        <v>307</v>
      </c>
      <c r="E25" s="14" t="s">
        <v>308</v>
      </c>
      <c r="F25" s="16" t="n">
        <v>900</v>
      </c>
      <c r="G25" s="14" t="s">
        <v>309</v>
      </c>
      <c r="H25" s="14" t="s">
        <v>339</v>
      </c>
    </row>
    <row r="26" customFormat="false" ht="15" hidden="false" customHeight="false" outlineLevel="0" collapsed="false">
      <c r="A26" s="9" t="s">
        <v>55</v>
      </c>
      <c r="B26" s="9" t="s">
        <v>40</v>
      </c>
      <c r="C26" s="9" t="s">
        <v>315</v>
      </c>
      <c r="D26" s="9" t="s">
        <v>41</v>
      </c>
      <c r="E26" s="9" t="s">
        <v>308</v>
      </c>
      <c r="F26" s="11" t="n">
        <v>750</v>
      </c>
      <c r="G26" s="9" t="s">
        <v>309</v>
      </c>
      <c r="H26" s="9" t="s">
        <v>340</v>
      </c>
    </row>
    <row r="27" customFormat="false" ht="15" hidden="false" customHeight="false" outlineLevel="0" collapsed="false">
      <c r="A27" s="14" t="s">
        <v>55</v>
      </c>
      <c r="B27" s="14" t="s">
        <v>47</v>
      </c>
      <c r="C27" s="14" t="s">
        <v>306</v>
      </c>
      <c r="D27" s="14" t="s">
        <v>307</v>
      </c>
      <c r="E27" s="14" t="s">
        <v>308</v>
      </c>
      <c r="F27" s="16" t="n">
        <v>450</v>
      </c>
      <c r="G27" s="14" t="s">
        <v>309</v>
      </c>
      <c r="H27" s="14" t="s">
        <v>341</v>
      </c>
    </row>
    <row r="28" customFormat="false" ht="15" hidden="false" customHeight="false" outlineLevel="0" collapsed="false">
      <c r="A28" s="9" t="s">
        <v>55</v>
      </c>
      <c r="B28" s="9" t="s">
        <v>47</v>
      </c>
      <c r="C28" s="9" t="s">
        <v>306</v>
      </c>
      <c r="D28" s="9" t="s">
        <v>307</v>
      </c>
      <c r="E28" s="9" t="s">
        <v>308</v>
      </c>
      <c r="F28" s="11" t="n">
        <v>475</v>
      </c>
      <c r="G28" s="9" t="s">
        <v>309</v>
      </c>
      <c r="H28" s="9" t="s">
        <v>342</v>
      </c>
    </row>
    <row r="29" customFormat="false" ht="15" hidden="false" customHeight="false" outlineLevel="0" collapsed="false">
      <c r="A29" s="14" t="s">
        <v>55</v>
      </c>
      <c r="B29" s="14" t="s">
        <v>47</v>
      </c>
      <c r="C29" s="14" t="s">
        <v>306</v>
      </c>
      <c r="D29" s="14" t="s">
        <v>307</v>
      </c>
      <c r="E29" s="14" t="s">
        <v>335</v>
      </c>
      <c r="F29" s="16" t="n">
        <v>500</v>
      </c>
      <c r="G29" s="14" t="s">
        <v>309</v>
      </c>
      <c r="H29" s="14" t="s">
        <v>343</v>
      </c>
    </row>
    <row r="30" customFormat="false" ht="15" hidden="false" customHeight="false" outlineLevel="0" collapsed="false">
      <c r="A30" s="9" t="s">
        <v>55</v>
      </c>
      <c r="B30" s="9" t="s">
        <v>47</v>
      </c>
      <c r="C30" s="9" t="s">
        <v>306</v>
      </c>
      <c r="D30" s="9" t="s">
        <v>307</v>
      </c>
      <c r="E30" s="9" t="s">
        <v>308</v>
      </c>
      <c r="F30" s="11" t="n">
        <v>530</v>
      </c>
      <c r="G30" s="9" t="s">
        <v>309</v>
      </c>
      <c r="H30" s="9" t="s">
        <v>344</v>
      </c>
    </row>
    <row r="31" customFormat="false" ht="15" hidden="false" customHeight="false" outlineLevel="0" collapsed="false">
      <c r="A31" s="14" t="s">
        <v>55</v>
      </c>
      <c r="B31" s="14" t="s">
        <v>47</v>
      </c>
      <c r="C31" s="14" t="s">
        <v>330</v>
      </c>
      <c r="D31" s="14" t="s">
        <v>48</v>
      </c>
      <c r="E31" s="14" t="s">
        <v>308</v>
      </c>
      <c r="F31" s="16" t="n">
        <v>553</v>
      </c>
      <c r="G31" s="14" t="s">
        <v>309</v>
      </c>
      <c r="H31" s="14" t="s">
        <v>345</v>
      </c>
    </row>
    <row r="32" customFormat="false" ht="15" hidden="false" customHeight="false" outlineLevel="0" collapsed="false">
      <c r="A32" s="9" t="s">
        <v>55</v>
      </c>
      <c r="B32" s="9" t="s">
        <v>47</v>
      </c>
      <c r="C32" s="9" t="s">
        <v>315</v>
      </c>
      <c r="D32" s="9" t="s">
        <v>41</v>
      </c>
      <c r="E32" s="9" t="s">
        <v>346</v>
      </c>
      <c r="F32" s="11" t="n">
        <v>599.99</v>
      </c>
      <c r="G32" s="9" t="s">
        <v>309</v>
      </c>
      <c r="H32" s="9" t="s">
        <v>347</v>
      </c>
    </row>
    <row r="33" customFormat="false" ht="15" hidden="false" customHeight="false" outlineLevel="0" collapsed="false">
      <c r="A33" s="14" t="s">
        <v>55</v>
      </c>
      <c r="B33" s="14" t="s">
        <v>47</v>
      </c>
      <c r="C33" s="14" t="s">
        <v>306</v>
      </c>
      <c r="D33" s="14" t="s">
        <v>307</v>
      </c>
      <c r="E33" s="14" t="s">
        <v>42</v>
      </c>
      <c r="F33" s="16" t="n">
        <v>600</v>
      </c>
      <c r="G33" s="14" t="s">
        <v>348</v>
      </c>
      <c r="H33" s="14" t="s">
        <v>349</v>
      </c>
    </row>
    <row r="34" customFormat="false" ht="15" hidden="false" customHeight="false" outlineLevel="0" collapsed="false">
      <c r="A34" s="9" t="s">
        <v>55</v>
      </c>
      <c r="B34" s="9" t="s">
        <v>47</v>
      </c>
      <c r="C34" s="9" t="s">
        <v>330</v>
      </c>
      <c r="D34" s="9" t="s">
        <v>48</v>
      </c>
      <c r="E34" s="9" t="s">
        <v>57</v>
      </c>
      <c r="F34" s="11" t="n">
        <v>649.99</v>
      </c>
      <c r="G34" s="9" t="s">
        <v>350</v>
      </c>
      <c r="H34" s="9" t="s">
        <v>351</v>
      </c>
    </row>
    <row r="35" customFormat="false" ht="15" hidden="false" customHeight="false" outlineLevel="0" collapsed="false">
      <c r="A35" s="14" t="s">
        <v>55</v>
      </c>
      <c r="B35" s="14" t="s">
        <v>47</v>
      </c>
      <c r="C35" s="14" t="s">
        <v>306</v>
      </c>
      <c r="D35" s="14" t="s">
        <v>307</v>
      </c>
      <c r="E35" s="14" t="s">
        <v>308</v>
      </c>
      <c r="F35" s="16" t="n">
        <v>700</v>
      </c>
      <c r="G35" s="14" t="s">
        <v>309</v>
      </c>
      <c r="H35" s="14" t="s">
        <v>352</v>
      </c>
    </row>
    <row r="36" customFormat="false" ht="15" hidden="false" customHeight="false" outlineLevel="0" collapsed="false">
      <c r="A36" s="9" t="s">
        <v>55</v>
      </c>
      <c r="B36" s="9" t="s">
        <v>47</v>
      </c>
      <c r="C36" s="9" t="s">
        <v>330</v>
      </c>
      <c r="D36" s="9" t="s">
        <v>48</v>
      </c>
      <c r="E36" s="9" t="s">
        <v>308</v>
      </c>
      <c r="F36" s="11" t="n">
        <v>724.99</v>
      </c>
      <c r="G36" s="9" t="s">
        <v>309</v>
      </c>
      <c r="H36" s="9" t="s">
        <v>353</v>
      </c>
    </row>
    <row r="37" customFormat="false" ht="15" hidden="false" customHeight="false" outlineLevel="0" collapsed="false">
      <c r="A37" s="14" t="s">
        <v>55</v>
      </c>
      <c r="B37" s="14" t="s">
        <v>47</v>
      </c>
      <c r="C37" s="14" t="s">
        <v>330</v>
      </c>
      <c r="D37" s="14" t="s">
        <v>48</v>
      </c>
      <c r="E37" s="14" t="s">
        <v>308</v>
      </c>
      <c r="F37" s="16" t="n">
        <v>784.45</v>
      </c>
      <c r="G37" s="14" t="s">
        <v>309</v>
      </c>
      <c r="H37" s="14" t="s">
        <v>354</v>
      </c>
    </row>
    <row r="38" customFormat="false" ht="15" hidden="false" customHeight="false" outlineLevel="0" collapsed="false">
      <c r="A38" s="9" t="s">
        <v>62</v>
      </c>
      <c r="B38" s="9" t="s">
        <v>63</v>
      </c>
      <c r="C38" s="9" t="s">
        <v>355</v>
      </c>
      <c r="D38" s="9" t="s">
        <v>60</v>
      </c>
      <c r="E38" s="9" t="s">
        <v>308</v>
      </c>
      <c r="F38" s="11" t="n">
        <v>839.99</v>
      </c>
      <c r="G38" s="9" t="s">
        <v>309</v>
      </c>
      <c r="H38" s="9" t="s">
        <v>356</v>
      </c>
    </row>
    <row r="39" customFormat="false" ht="15" hidden="false" customHeight="false" outlineLevel="0" collapsed="false">
      <c r="A39" s="14" t="s">
        <v>62</v>
      </c>
      <c r="B39" s="14" t="s">
        <v>63</v>
      </c>
      <c r="C39" s="14" t="s">
        <v>306</v>
      </c>
      <c r="D39" s="14" t="s">
        <v>307</v>
      </c>
      <c r="E39" s="14" t="s">
        <v>357</v>
      </c>
      <c r="F39" s="16" t="n">
        <v>850</v>
      </c>
      <c r="G39" s="14" t="s">
        <v>309</v>
      </c>
      <c r="H39" s="14" t="s">
        <v>358</v>
      </c>
    </row>
    <row r="40" customFormat="false" ht="15" hidden="false" customHeight="false" outlineLevel="0" collapsed="false">
      <c r="A40" s="9" t="s">
        <v>62</v>
      </c>
      <c r="B40" s="9" t="s">
        <v>63</v>
      </c>
      <c r="C40" s="9" t="s">
        <v>306</v>
      </c>
      <c r="D40" s="9" t="s">
        <v>307</v>
      </c>
      <c r="E40" s="9" t="s">
        <v>308</v>
      </c>
      <c r="F40" s="11" t="n">
        <v>924.99</v>
      </c>
      <c r="G40" s="9" t="s">
        <v>309</v>
      </c>
      <c r="H40" s="9" t="s">
        <v>359</v>
      </c>
    </row>
    <row r="41" customFormat="false" ht="15" hidden="false" customHeight="false" outlineLevel="0" collapsed="false">
      <c r="A41" s="14" t="s">
        <v>62</v>
      </c>
      <c r="B41" s="14" t="s">
        <v>63</v>
      </c>
      <c r="C41" s="14" t="s">
        <v>330</v>
      </c>
      <c r="D41" s="14" t="s">
        <v>48</v>
      </c>
      <c r="E41" s="14" t="s">
        <v>308</v>
      </c>
      <c r="F41" s="16" t="n">
        <v>952.95</v>
      </c>
      <c r="G41" s="14" t="s">
        <v>309</v>
      </c>
      <c r="H41" s="14" t="s">
        <v>360</v>
      </c>
    </row>
    <row r="42" customFormat="false" ht="15" hidden="false" customHeight="false" outlineLevel="0" collapsed="false">
      <c r="A42" s="9" t="s">
        <v>62</v>
      </c>
      <c r="B42" s="9" t="s">
        <v>63</v>
      </c>
      <c r="C42" s="9" t="s">
        <v>311</v>
      </c>
      <c r="D42" s="9" t="s">
        <v>41</v>
      </c>
      <c r="E42" s="9" t="s">
        <v>308</v>
      </c>
      <c r="F42" s="11" t="n">
        <v>1136</v>
      </c>
      <c r="G42" s="9" t="s">
        <v>361</v>
      </c>
      <c r="H42" s="9" t="s">
        <v>362</v>
      </c>
    </row>
    <row r="43" customFormat="false" ht="15" hidden="false" customHeight="false" outlineLevel="0" collapsed="false">
      <c r="A43" s="14" t="s">
        <v>62</v>
      </c>
      <c r="B43" s="14" t="s">
        <v>40</v>
      </c>
      <c r="C43" s="14" t="s">
        <v>306</v>
      </c>
      <c r="D43" s="14" t="s">
        <v>307</v>
      </c>
      <c r="E43" s="14" t="s">
        <v>57</v>
      </c>
      <c r="F43" s="16" t="n">
        <v>420</v>
      </c>
      <c r="G43" s="14" t="s">
        <v>309</v>
      </c>
      <c r="H43" s="14" t="s">
        <v>363</v>
      </c>
    </row>
    <row r="44" customFormat="false" ht="15" hidden="false" customHeight="false" outlineLevel="0" collapsed="false">
      <c r="A44" s="9" t="s">
        <v>62</v>
      </c>
      <c r="B44" s="9" t="s">
        <v>40</v>
      </c>
      <c r="C44" s="9" t="s">
        <v>306</v>
      </c>
      <c r="D44" s="9" t="s">
        <v>307</v>
      </c>
      <c r="E44" s="9" t="s">
        <v>308</v>
      </c>
      <c r="F44" s="11" t="n">
        <v>850</v>
      </c>
      <c r="G44" s="9" t="s">
        <v>309</v>
      </c>
      <c r="H44" s="9" t="s">
        <v>364</v>
      </c>
    </row>
    <row r="45" customFormat="false" ht="15" hidden="false" customHeight="false" outlineLevel="0" collapsed="false">
      <c r="A45" s="14" t="s">
        <v>62</v>
      </c>
      <c r="B45" s="14" t="s">
        <v>47</v>
      </c>
      <c r="C45" s="14" t="s">
        <v>306</v>
      </c>
      <c r="D45" s="14" t="s">
        <v>307</v>
      </c>
      <c r="E45" s="14" t="s">
        <v>308</v>
      </c>
      <c r="F45" s="16" t="n">
        <v>709.99</v>
      </c>
      <c r="G45" s="14" t="s">
        <v>309</v>
      </c>
      <c r="H45" s="14" t="s">
        <v>365</v>
      </c>
    </row>
    <row r="46" customFormat="false" ht="15" hidden="false" customHeight="false" outlineLevel="0" collapsed="false">
      <c r="A46" s="9" t="s">
        <v>62</v>
      </c>
      <c r="B46" s="9" t="s">
        <v>47</v>
      </c>
      <c r="C46" s="9" t="s">
        <v>306</v>
      </c>
      <c r="D46" s="9" t="s">
        <v>307</v>
      </c>
      <c r="E46" s="9" t="s">
        <v>308</v>
      </c>
      <c r="F46" s="11" t="n">
        <v>720</v>
      </c>
      <c r="G46" s="9" t="s">
        <v>309</v>
      </c>
      <c r="H46" s="9" t="s">
        <v>366</v>
      </c>
    </row>
    <row r="47" customFormat="false" ht="15" hidden="false" customHeight="false" outlineLevel="0" collapsed="false">
      <c r="A47" s="14" t="s">
        <v>62</v>
      </c>
      <c r="B47" s="14" t="s">
        <v>47</v>
      </c>
      <c r="C47" s="14" t="s">
        <v>306</v>
      </c>
      <c r="D47" s="14" t="s">
        <v>307</v>
      </c>
      <c r="E47" s="14" t="s">
        <v>308</v>
      </c>
      <c r="F47" s="16" t="n">
        <v>720</v>
      </c>
      <c r="G47" s="14" t="s">
        <v>309</v>
      </c>
      <c r="H47" s="14" t="s">
        <v>367</v>
      </c>
    </row>
    <row r="48" customFormat="false" ht="15" hidden="false" customHeight="false" outlineLevel="0" collapsed="false">
      <c r="A48" s="9" t="s">
        <v>62</v>
      </c>
      <c r="B48" s="9" t="s">
        <v>47</v>
      </c>
      <c r="C48" s="9" t="s">
        <v>306</v>
      </c>
      <c r="D48" s="9" t="s">
        <v>307</v>
      </c>
      <c r="E48" s="9" t="s">
        <v>308</v>
      </c>
      <c r="F48" s="11" t="n">
        <v>775</v>
      </c>
      <c r="G48" s="9" t="s">
        <v>309</v>
      </c>
      <c r="H48" s="9" t="s">
        <v>368</v>
      </c>
    </row>
    <row r="49" customFormat="false" ht="15" hidden="false" customHeight="false" outlineLevel="0" collapsed="false">
      <c r="A49" s="14" t="s">
        <v>62</v>
      </c>
      <c r="B49" s="14" t="s">
        <v>47</v>
      </c>
      <c r="C49" s="14" t="s">
        <v>369</v>
      </c>
      <c r="D49" s="14" t="s">
        <v>53</v>
      </c>
      <c r="E49" s="14" t="s">
        <v>308</v>
      </c>
      <c r="F49" s="16" t="n">
        <v>799</v>
      </c>
      <c r="G49" s="14" t="s">
        <v>309</v>
      </c>
      <c r="H49" s="14" t="s">
        <v>370</v>
      </c>
    </row>
    <row r="50" customFormat="false" ht="15" hidden="false" customHeight="false" outlineLevel="0" collapsed="false">
      <c r="A50" s="9" t="s">
        <v>62</v>
      </c>
      <c r="B50" s="9" t="s">
        <v>47</v>
      </c>
      <c r="C50" s="9" t="s">
        <v>369</v>
      </c>
      <c r="D50" s="9" t="s">
        <v>53</v>
      </c>
      <c r="E50" s="9" t="s">
        <v>308</v>
      </c>
      <c r="F50" s="11" t="n">
        <v>813</v>
      </c>
      <c r="G50" s="9" t="s">
        <v>309</v>
      </c>
      <c r="H50" s="9" t="s">
        <v>371</v>
      </c>
    </row>
    <row r="51" customFormat="false" ht="15" hidden="false" customHeight="false" outlineLevel="0" collapsed="false">
      <c r="A51" s="14" t="s">
        <v>62</v>
      </c>
      <c r="B51" s="14" t="s">
        <v>47</v>
      </c>
      <c r="C51" s="14" t="s">
        <v>306</v>
      </c>
      <c r="D51" s="14" t="s">
        <v>307</v>
      </c>
      <c r="E51" s="14" t="s">
        <v>308</v>
      </c>
      <c r="F51" s="16" t="n">
        <v>850</v>
      </c>
      <c r="G51" s="14" t="s">
        <v>309</v>
      </c>
      <c r="H51" s="14" t="s">
        <v>372</v>
      </c>
    </row>
    <row r="52" customFormat="false" ht="15" hidden="false" customHeight="false" outlineLevel="0" collapsed="false">
      <c r="A52" s="9" t="s">
        <v>62</v>
      </c>
      <c r="B52" s="9" t="s">
        <v>47</v>
      </c>
      <c r="C52" s="9" t="s">
        <v>311</v>
      </c>
      <c r="D52" s="9" t="s">
        <v>41</v>
      </c>
      <c r="E52" s="9" t="s">
        <v>308</v>
      </c>
      <c r="F52" s="11" t="n">
        <v>869.95</v>
      </c>
      <c r="G52" s="9" t="s">
        <v>309</v>
      </c>
      <c r="H52" s="9" t="s">
        <v>373</v>
      </c>
    </row>
    <row r="53" customFormat="false" ht="15" hidden="false" customHeight="false" outlineLevel="0" collapsed="false">
      <c r="A53" s="14" t="s">
        <v>62</v>
      </c>
      <c r="B53" s="14" t="s">
        <v>47</v>
      </c>
      <c r="C53" s="14" t="s">
        <v>315</v>
      </c>
      <c r="D53" s="14" t="s">
        <v>41</v>
      </c>
      <c r="E53" s="14" t="s">
        <v>308</v>
      </c>
      <c r="F53" s="16" t="n">
        <v>1039.95</v>
      </c>
      <c r="G53" s="14" t="s">
        <v>309</v>
      </c>
      <c r="H53" s="14" t="s">
        <v>374</v>
      </c>
    </row>
    <row r="54" customFormat="false" ht="15" hidden="false" customHeight="false" outlineLevel="0" collapsed="false">
      <c r="A54" s="9" t="s">
        <v>68</v>
      </c>
      <c r="B54" s="9" t="s">
        <v>40</v>
      </c>
      <c r="C54" s="9" t="s">
        <v>355</v>
      </c>
      <c r="D54" s="9" t="s">
        <v>60</v>
      </c>
      <c r="E54" s="9" t="s">
        <v>308</v>
      </c>
      <c r="F54" s="11" t="n">
        <v>728.53</v>
      </c>
      <c r="G54" s="9" t="s">
        <v>309</v>
      </c>
      <c r="H54" s="9" t="s">
        <v>375</v>
      </c>
    </row>
    <row r="55" customFormat="false" ht="15" hidden="false" customHeight="false" outlineLevel="0" collapsed="false">
      <c r="A55" s="14" t="s">
        <v>68</v>
      </c>
      <c r="B55" s="14" t="s">
        <v>40</v>
      </c>
      <c r="C55" s="14" t="s">
        <v>369</v>
      </c>
      <c r="D55" s="14" t="s">
        <v>53</v>
      </c>
      <c r="E55" s="14" t="s">
        <v>308</v>
      </c>
      <c r="F55" s="16" t="n">
        <v>800</v>
      </c>
      <c r="G55" s="14" t="s">
        <v>376</v>
      </c>
      <c r="H55" s="14" t="s">
        <v>377</v>
      </c>
    </row>
    <row r="56" customFormat="false" ht="15" hidden="false" customHeight="false" outlineLevel="0" collapsed="false">
      <c r="A56" s="9" t="s">
        <v>68</v>
      </c>
      <c r="B56" s="9" t="s">
        <v>47</v>
      </c>
      <c r="C56" s="9" t="s">
        <v>306</v>
      </c>
      <c r="D56" s="9" t="s">
        <v>307</v>
      </c>
      <c r="E56" s="9" t="s">
        <v>308</v>
      </c>
      <c r="F56" s="11" t="n">
        <v>450</v>
      </c>
      <c r="G56" s="9" t="s">
        <v>309</v>
      </c>
      <c r="H56" s="9" t="s">
        <v>378</v>
      </c>
    </row>
    <row r="57" customFormat="false" ht="15" hidden="false" customHeight="false" outlineLevel="0" collapsed="false">
      <c r="A57" s="14" t="s">
        <v>68</v>
      </c>
      <c r="B57" s="14" t="s">
        <v>47</v>
      </c>
      <c r="C57" s="14" t="s">
        <v>330</v>
      </c>
      <c r="D57" s="14" t="s">
        <v>48</v>
      </c>
      <c r="E57" s="14" t="s">
        <v>308</v>
      </c>
      <c r="F57" s="16" t="n">
        <v>749</v>
      </c>
      <c r="G57" s="14" t="s">
        <v>309</v>
      </c>
      <c r="H57" s="14" t="s">
        <v>379</v>
      </c>
    </row>
    <row r="58" customFormat="false" ht="15" hidden="false" customHeight="false" outlineLevel="0" collapsed="false">
      <c r="A58" s="9" t="s">
        <v>68</v>
      </c>
      <c r="B58" s="9" t="s">
        <v>74</v>
      </c>
      <c r="C58" s="9" t="s">
        <v>306</v>
      </c>
      <c r="D58" s="9" t="s">
        <v>307</v>
      </c>
      <c r="E58" s="9" t="s">
        <v>308</v>
      </c>
      <c r="F58" s="11" t="n">
        <v>390</v>
      </c>
      <c r="G58" s="9" t="s">
        <v>309</v>
      </c>
      <c r="H58" s="9" t="s">
        <v>380</v>
      </c>
    </row>
    <row r="59" customFormat="false" ht="15" hidden="false" customHeight="false" outlineLevel="0" collapsed="false">
      <c r="A59" s="14" t="s">
        <v>68</v>
      </c>
      <c r="B59" s="14" t="s">
        <v>74</v>
      </c>
      <c r="C59" s="14" t="s">
        <v>306</v>
      </c>
      <c r="D59" s="14" t="s">
        <v>307</v>
      </c>
      <c r="E59" s="14" t="s">
        <v>308</v>
      </c>
      <c r="F59" s="16" t="n">
        <v>599.99</v>
      </c>
      <c r="G59" s="14" t="s">
        <v>309</v>
      </c>
      <c r="H59" s="14" t="s">
        <v>381</v>
      </c>
    </row>
    <row r="60" customFormat="false" ht="15" hidden="false" customHeight="false" outlineLevel="0" collapsed="false">
      <c r="A60" s="9" t="s">
        <v>68</v>
      </c>
      <c r="B60" s="9" t="s">
        <v>74</v>
      </c>
      <c r="C60" s="9" t="s">
        <v>306</v>
      </c>
      <c r="D60" s="9" t="s">
        <v>307</v>
      </c>
      <c r="E60" s="9" t="s">
        <v>308</v>
      </c>
      <c r="F60" s="11" t="n">
        <v>609</v>
      </c>
      <c r="G60" s="9" t="s">
        <v>309</v>
      </c>
      <c r="H60" s="9" t="s">
        <v>382</v>
      </c>
    </row>
    <row r="61" customFormat="false" ht="15" hidden="false" customHeight="false" outlineLevel="0" collapsed="false">
      <c r="A61" s="14" t="s">
        <v>68</v>
      </c>
      <c r="B61" s="14" t="s">
        <v>74</v>
      </c>
      <c r="C61" s="14" t="s">
        <v>306</v>
      </c>
      <c r="D61" s="14" t="s">
        <v>307</v>
      </c>
      <c r="E61" s="14" t="s">
        <v>57</v>
      </c>
      <c r="F61" s="16" t="n">
        <v>635</v>
      </c>
      <c r="G61" s="14" t="s">
        <v>309</v>
      </c>
      <c r="H61" s="14" t="s">
        <v>383</v>
      </c>
    </row>
    <row r="62" customFormat="false" ht="15" hidden="false" customHeight="false" outlineLevel="0" collapsed="false">
      <c r="A62" s="9" t="s">
        <v>68</v>
      </c>
      <c r="B62" s="9" t="s">
        <v>74</v>
      </c>
      <c r="C62" s="9" t="s">
        <v>369</v>
      </c>
      <c r="D62" s="9" t="s">
        <v>53</v>
      </c>
      <c r="E62" s="9" t="s">
        <v>308</v>
      </c>
      <c r="F62" s="11" t="n">
        <v>639</v>
      </c>
      <c r="G62" s="9" t="s">
        <v>309</v>
      </c>
      <c r="H62" s="9" t="s">
        <v>384</v>
      </c>
    </row>
    <row r="63" customFormat="false" ht="15" hidden="false" customHeight="false" outlineLevel="0" collapsed="false">
      <c r="A63" s="14" t="s">
        <v>71</v>
      </c>
      <c r="B63" s="14" t="s">
        <v>47</v>
      </c>
      <c r="C63" s="14" t="s">
        <v>306</v>
      </c>
      <c r="D63" s="14" t="s">
        <v>307</v>
      </c>
      <c r="E63" s="14" t="s">
        <v>308</v>
      </c>
      <c r="F63" s="16" t="n">
        <v>450</v>
      </c>
      <c r="G63" s="14" t="s">
        <v>309</v>
      </c>
      <c r="H63" s="14" t="s">
        <v>385</v>
      </c>
    </row>
    <row r="64" customFormat="false" ht="15" hidden="false" customHeight="false" outlineLevel="0" collapsed="false">
      <c r="A64" s="9" t="s">
        <v>71</v>
      </c>
      <c r="B64" s="9" t="s">
        <v>47</v>
      </c>
      <c r="C64" s="9" t="s">
        <v>306</v>
      </c>
      <c r="D64" s="9" t="s">
        <v>307</v>
      </c>
      <c r="E64" s="9" t="s">
        <v>308</v>
      </c>
      <c r="F64" s="11" t="n">
        <v>559.99</v>
      </c>
      <c r="G64" s="9" t="s">
        <v>309</v>
      </c>
      <c r="H64" s="9" t="s">
        <v>386</v>
      </c>
    </row>
    <row r="65" customFormat="false" ht="15" hidden="false" customHeight="false" outlineLevel="0" collapsed="false">
      <c r="A65" s="14" t="s">
        <v>71</v>
      </c>
      <c r="B65" s="14" t="s">
        <v>47</v>
      </c>
      <c r="C65" s="14" t="s">
        <v>369</v>
      </c>
      <c r="D65" s="14" t="s">
        <v>53</v>
      </c>
      <c r="E65" s="14" t="s">
        <v>308</v>
      </c>
      <c r="F65" s="16" t="n">
        <v>637.99</v>
      </c>
      <c r="G65" s="14" t="s">
        <v>309</v>
      </c>
      <c r="H65" s="14" t="s">
        <v>387</v>
      </c>
    </row>
    <row r="66" customFormat="false" ht="15" hidden="false" customHeight="false" outlineLevel="0" collapsed="false">
      <c r="A66" s="9" t="s">
        <v>71</v>
      </c>
      <c r="B66" s="9" t="s">
        <v>74</v>
      </c>
      <c r="C66" s="9" t="s">
        <v>306</v>
      </c>
      <c r="D66" s="9" t="s">
        <v>307</v>
      </c>
      <c r="E66" s="9" t="s">
        <v>317</v>
      </c>
      <c r="F66" s="11" t="n">
        <v>389.95</v>
      </c>
      <c r="G66" s="9" t="s">
        <v>309</v>
      </c>
      <c r="H66" s="9" t="s">
        <v>388</v>
      </c>
    </row>
    <row r="67" customFormat="false" ht="15" hidden="false" customHeight="false" outlineLevel="0" collapsed="false">
      <c r="A67" s="14" t="s">
        <v>71</v>
      </c>
      <c r="B67" s="14" t="s">
        <v>74</v>
      </c>
      <c r="C67" s="14" t="s">
        <v>306</v>
      </c>
      <c r="D67" s="14" t="s">
        <v>307</v>
      </c>
      <c r="E67" s="14" t="s">
        <v>308</v>
      </c>
      <c r="F67" s="16" t="n">
        <v>400</v>
      </c>
      <c r="G67" s="14" t="s">
        <v>309</v>
      </c>
      <c r="H67" s="14" t="s">
        <v>389</v>
      </c>
    </row>
    <row r="68" customFormat="false" ht="15" hidden="false" customHeight="false" outlineLevel="0" collapsed="false">
      <c r="A68" s="9" t="s">
        <v>71</v>
      </c>
      <c r="B68" s="9" t="s">
        <v>74</v>
      </c>
      <c r="C68" s="9" t="s">
        <v>306</v>
      </c>
      <c r="D68" s="9" t="s">
        <v>307</v>
      </c>
      <c r="E68" s="9" t="s">
        <v>308</v>
      </c>
      <c r="F68" s="11" t="n">
        <v>499.95</v>
      </c>
      <c r="G68" s="9" t="s">
        <v>309</v>
      </c>
      <c r="H68" s="9" t="s">
        <v>390</v>
      </c>
    </row>
    <row r="69" customFormat="false" ht="15" hidden="false" customHeight="false" outlineLevel="0" collapsed="false">
      <c r="A69" s="14" t="s">
        <v>71</v>
      </c>
      <c r="B69" s="14" t="s">
        <v>74</v>
      </c>
      <c r="C69" s="14" t="s">
        <v>369</v>
      </c>
      <c r="D69" s="14" t="s">
        <v>53</v>
      </c>
      <c r="E69" s="14" t="s">
        <v>308</v>
      </c>
      <c r="F69" s="16" t="n">
        <v>618</v>
      </c>
      <c r="G69" s="14" t="s">
        <v>309</v>
      </c>
      <c r="H69" s="14" t="s">
        <v>391</v>
      </c>
    </row>
    <row r="70" customFormat="false" ht="15" hidden="false" customHeight="false" outlineLevel="0" collapsed="false">
      <c r="A70" s="9" t="s">
        <v>71</v>
      </c>
      <c r="B70" s="9" t="s">
        <v>74</v>
      </c>
      <c r="C70" s="9" t="s">
        <v>311</v>
      </c>
      <c r="D70" s="9" t="s">
        <v>41</v>
      </c>
      <c r="E70" s="9" t="s">
        <v>308</v>
      </c>
      <c r="F70" s="11" t="n">
        <v>644.88</v>
      </c>
      <c r="G70" s="9" t="s">
        <v>309</v>
      </c>
      <c r="H70" s="9" t="s">
        <v>392</v>
      </c>
    </row>
    <row r="71" customFormat="false" ht="15" hidden="false" customHeight="false" outlineLevel="0" collapsed="false">
      <c r="A71" s="14" t="s">
        <v>77</v>
      </c>
      <c r="B71" s="14" t="s">
        <v>47</v>
      </c>
      <c r="C71" s="14" t="s">
        <v>306</v>
      </c>
      <c r="D71" s="14" t="s">
        <v>307</v>
      </c>
      <c r="E71" s="14" t="s">
        <v>308</v>
      </c>
      <c r="F71" s="16" t="n">
        <v>519</v>
      </c>
      <c r="G71" s="14" t="s">
        <v>309</v>
      </c>
      <c r="H71" s="14" t="s">
        <v>393</v>
      </c>
    </row>
    <row r="72" customFormat="false" ht="15" hidden="false" customHeight="false" outlineLevel="0" collapsed="false">
      <c r="A72" s="9" t="s">
        <v>77</v>
      </c>
      <c r="B72" s="9" t="s">
        <v>47</v>
      </c>
      <c r="C72" s="9" t="s">
        <v>306</v>
      </c>
      <c r="D72" s="9" t="s">
        <v>307</v>
      </c>
      <c r="E72" s="9" t="s">
        <v>308</v>
      </c>
      <c r="F72" s="11" t="n">
        <v>549.99</v>
      </c>
      <c r="G72" s="9" t="s">
        <v>309</v>
      </c>
      <c r="H72" s="9" t="s">
        <v>394</v>
      </c>
    </row>
    <row r="73" customFormat="false" ht="15" hidden="false" customHeight="false" outlineLevel="0" collapsed="false">
      <c r="A73" s="14" t="s">
        <v>77</v>
      </c>
      <c r="B73" s="14" t="s">
        <v>74</v>
      </c>
      <c r="C73" s="14" t="s">
        <v>311</v>
      </c>
      <c r="D73" s="14" t="s">
        <v>41</v>
      </c>
      <c r="E73" s="14" t="s">
        <v>57</v>
      </c>
      <c r="F73" s="16" t="n">
        <v>479.99</v>
      </c>
      <c r="G73" s="14" t="s">
        <v>309</v>
      </c>
      <c r="H73" s="14" t="s">
        <v>395</v>
      </c>
    </row>
    <row r="74" customFormat="false" ht="15" hidden="false" customHeight="false" outlineLevel="0" collapsed="false">
      <c r="A74" s="9" t="s">
        <v>77</v>
      </c>
      <c r="B74" s="9" t="s">
        <v>74</v>
      </c>
      <c r="C74" s="9" t="s">
        <v>315</v>
      </c>
      <c r="D74" s="9" t="s">
        <v>41</v>
      </c>
      <c r="E74" s="9" t="s">
        <v>317</v>
      </c>
      <c r="F74" s="11" t="n">
        <v>490</v>
      </c>
      <c r="G74" s="9" t="s">
        <v>309</v>
      </c>
      <c r="H74" s="9" t="s">
        <v>396</v>
      </c>
    </row>
    <row r="75" customFormat="false" ht="15" hidden="false" customHeight="false" outlineLevel="0" collapsed="false">
      <c r="A75" s="14" t="s">
        <v>77</v>
      </c>
      <c r="B75" s="14" t="s">
        <v>74</v>
      </c>
      <c r="C75" s="14" t="s">
        <v>315</v>
      </c>
      <c r="D75" s="14" t="s">
        <v>41</v>
      </c>
      <c r="E75" s="14" t="s">
        <v>308</v>
      </c>
      <c r="F75" s="16" t="n">
        <v>500</v>
      </c>
      <c r="G75" s="14" t="s">
        <v>309</v>
      </c>
      <c r="H75" s="14" t="s">
        <v>397</v>
      </c>
    </row>
    <row r="76" customFormat="false" ht="15" hidden="false" customHeight="false" outlineLevel="0" collapsed="false">
      <c r="A76" s="9" t="s">
        <v>77</v>
      </c>
      <c r="B76" s="9" t="s">
        <v>74</v>
      </c>
      <c r="C76" s="9" t="s">
        <v>315</v>
      </c>
      <c r="D76" s="9" t="s">
        <v>41</v>
      </c>
      <c r="E76" s="9" t="s">
        <v>42</v>
      </c>
      <c r="F76" s="11" t="n">
        <v>519.99</v>
      </c>
      <c r="G76" s="9" t="s">
        <v>309</v>
      </c>
      <c r="H76" s="9" t="s">
        <v>398</v>
      </c>
    </row>
    <row r="77" customFormat="false" ht="15" hidden="false" customHeight="false" outlineLevel="0" collapsed="false">
      <c r="A77" s="14" t="s">
        <v>77</v>
      </c>
      <c r="B77" s="14" t="s">
        <v>74</v>
      </c>
      <c r="C77" s="14" t="s">
        <v>369</v>
      </c>
      <c r="D77" s="14" t="s">
        <v>53</v>
      </c>
      <c r="E77" s="14" t="s">
        <v>308</v>
      </c>
      <c r="F77" s="16" t="n">
        <v>551</v>
      </c>
      <c r="G77" s="14" t="s">
        <v>309</v>
      </c>
      <c r="H77" s="14" t="s">
        <v>399</v>
      </c>
    </row>
    <row r="78" customFormat="false" ht="15" hidden="false" customHeight="false" outlineLevel="0" collapsed="false">
      <c r="A78" s="9" t="s">
        <v>80</v>
      </c>
      <c r="B78" s="9" t="s">
        <v>40</v>
      </c>
      <c r="C78" s="9" t="s">
        <v>311</v>
      </c>
      <c r="D78" s="9" t="s">
        <v>41</v>
      </c>
      <c r="E78" s="9" t="s">
        <v>308</v>
      </c>
      <c r="F78" s="11" t="n">
        <v>410</v>
      </c>
      <c r="G78" s="9" t="s">
        <v>309</v>
      </c>
      <c r="H78" s="9" t="s">
        <v>400</v>
      </c>
    </row>
    <row r="79" customFormat="false" ht="15" hidden="false" customHeight="false" outlineLevel="0" collapsed="false">
      <c r="A79" s="14" t="s">
        <v>80</v>
      </c>
      <c r="B79" s="14" t="s">
        <v>47</v>
      </c>
      <c r="C79" s="14" t="s">
        <v>306</v>
      </c>
      <c r="D79" s="14" t="s">
        <v>307</v>
      </c>
      <c r="E79" s="14" t="s">
        <v>42</v>
      </c>
      <c r="F79" s="16" t="n">
        <v>299.98</v>
      </c>
      <c r="G79" s="14" t="s">
        <v>309</v>
      </c>
      <c r="H79" s="14" t="s">
        <v>401</v>
      </c>
    </row>
    <row r="80" customFormat="false" ht="15" hidden="false" customHeight="false" outlineLevel="0" collapsed="false">
      <c r="A80" s="9" t="s">
        <v>80</v>
      </c>
      <c r="B80" s="9" t="s">
        <v>47</v>
      </c>
      <c r="C80" s="9" t="s">
        <v>369</v>
      </c>
      <c r="D80" s="9" t="s">
        <v>53</v>
      </c>
      <c r="E80" s="9" t="s">
        <v>308</v>
      </c>
      <c r="F80" s="11" t="n">
        <v>428.33</v>
      </c>
      <c r="G80" s="9" t="s">
        <v>309</v>
      </c>
      <c r="H80" s="9" t="s">
        <v>402</v>
      </c>
    </row>
    <row r="81" customFormat="false" ht="15" hidden="false" customHeight="false" outlineLevel="0" collapsed="false">
      <c r="A81" s="14" t="s">
        <v>80</v>
      </c>
      <c r="B81" s="14" t="s">
        <v>74</v>
      </c>
      <c r="C81" s="14" t="s">
        <v>306</v>
      </c>
      <c r="D81" s="14" t="s">
        <v>307</v>
      </c>
      <c r="E81" s="14" t="s">
        <v>403</v>
      </c>
      <c r="F81" s="16" t="n">
        <v>239.99</v>
      </c>
      <c r="G81" s="14" t="s">
        <v>309</v>
      </c>
      <c r="H81" s="14" t="s">
        <v>404</v>
      </c>
    </row>
    <row r="82" customFormat="false" ht="15" hidden="false" customHeight="false" outlineLevel="0" collapsed="false">
      <c r="A82" s="9" t="s">
        <v>80</v>
      </c>
      <c r="B82" s="9" t="s">
        <v>74</v>
      </c>
      <c r="C82" s="9" t="s">
        <v>306</v>
      </c>
      <c r="D82" s="9" t="s">
        <v>307</v>
      </c>
      <c r="E82" s="9" t="s">
        <v>405</v>
      </c>
      <c r="F82" s="11" t="n">
        <v>299.95</v>
      </c>
      <c r="G82" s="9" t="s">
        <v>309</v>
      </c>
      <c r="H82" s="9" t="s">
        <v>406</v>
      </c>
    </row>
    <row r="83" customFormat="false" ht="15" hidden="false" customHeight="false" outlineLevel="0" collapsed="false">
      <c r="A83" s="14" t="s">
        <v>80</v>
      </c>
      <c r="B83" s="14" t="s">
        <v>74</v>
      </c>
      <c r="C83" s="14" t="s">
        <v>306</v>
      </c>
      <c r="D83" s="14" t="s">
        <v>307</v>
      </c>
      <c r="E83" s="14" t="s">
        <v>335</v>
      </c>
      <c r="F83" s="16" t="n">
        <v>300</v>
      </c>
      <c r="G83" s="14" t="s">
        <v>309</v>
      </c>
      <c r="H83" s="14" t="s">
        <v>407</v>
      </c>
    </row>
    <row r="84" customFormat="false" ht="15" hidden="false" customHeight="false" outlineLevel="0" collapsed="false">
      <c r="A84" s="9" t="s">
        <v>80</v>
      </c>
      <c r="B84" s="9" t="s">
        <v>74</v>
      </c>
      <c r="C84" s="9" t="s">
        <v>306</v>
      </c>
      <c r="D84" s="9" t="s">
        <v>307</v>
      </c>
      <c r="E84" s="9" t="s">
        <v>308</v>
      </c>
      <c r="F84" s="11" t="n">
        <v>307.99</v>
      </c>
      <c r="G84" s="9" t="s">
        <v>309</v>
      </c>
      <c r="H84" s="9" t="s">
        <v>408</v>
      </c>
    </row>
    <row r="85" customFormat="false" ht="15" hidden="false" customHeight="false" outlineLevel="0" collapsed="false">
      <c r="A85" s="14" t="s">
        <v>80</v>
      </c>
      <c r="B85" s="14" t="s">
        <v>74</v>
      </c>
      <c r="C85" s="14" t="s">
        <v>306</v>
      </c>
      <c r="D85" s="14" t="s">
        <v>307</v>
      </c>
      <c r="E85" s="14" t="s">
        <v>308</v>
      </c>
      <c r="F85" s="16" t="n">
        <v>322.99</v>
      </c>
      <c r="G85" s="14" t="s">
        <v>409</v>
      </c>
      <c r="H85" s="14" t="s">
        <v>410</v>
      </c>
    </row>
    <row r="86" customFormat="false" ht="15" hidden="false" customHeight="false" outlineLevel="0" collapsed="false">
      <c r="A86" s="9" t="s">
        <v>80</v>
      </c>
      <c r="B86" s="9" t="s">
        <v>74</v>
      </c>
      <c r="C86" s="9" t="s">
        <v>306</v>
      </c>
      <c r="D86" s="9" t="s">
        <v>307</v>
      </c>
      <c r="E86" s="9" t="s">
        <v>308</v>
      </c>
      <c r="F86" s="11" t="n">
        <v>366</v>
      </c>
      <c r="G86" s="9" t="s">
        <v>309</v>
      </c>
      <c r="H86" s="9" t="s">
        <v>411</v>
      </c>
    </row>
    <row r="87" customFormat="false" ht="15" hidden="false" customHeight="false" outlineLevel="0" collapsed="false">
      <c r="A87" s="14" t="s">
        <v>80</v>
      </c>
      <c r="B87" s="14" t="s">
        <v>74</v>
      </c>
      <c r="C87" s="14" t="s">
        <v>369</v>
      </c>
      <c r="D87" s="14" t="s">
        <v>53</v>
      </c>
      <c r="E87" s="14" t="s">
        <v>335</v>
      </c>
      <c r="F87" s="16" t="n">
        <v>370</v>
      </c>
      <c r="G87" s="14" t="s">
        <v>309</v>
      </c>
      <c r="H87" s="14" t="s">
        <v>412</v>
      </c>
    </row>
    <row r="88" customFormat="false" ht="15" hidden="false" customHeight="false" outlineLevel="0" collapsed="false">
      <c r="A88" s="9" t="s">
        <v>80</v>
      </c>
      <c r="B88" s="9" t="s">
        <v>74</v>
      </c>
      <c r="C88" s="9" t="s">
        <v>369</v>
      </c>
      <c r="D88" s="9" t="s">
        <v>53</v>
      </c>
      <c r="E88" s="9" t="s">
        <v>308</v>
      </c>
      <c r="F88" s="11" t="n">
        <v>382.86</v>
      </c>
      <c r="G88" s="9" t="s">
        <v>309</v>
      </c>
      <c r="H88" s="9" t="s">
        <v>413</v>
      </c>
    </row>
    <row r="89" customFormat="false" ht="15" hidden="false" customHeight="false" outlineLevel="0" collapsed="false">
      <c r="A89" s="14" t="s">
        <v>80</v>
      </c>
      <c r="B89" s="14" t="s">
        <v>74</v>
      </c>
      <c r="C89" s="14" t="s">
        <v>369</v>
      </c>
      <c r="D89" s="14" t="s">
        <v>53</v>
      </c>
      <c r="E89" s="14" t="s">
        <v>308</v>
      </c>
      <c r="F89" s="16" t="n">
        <v>388</v>
      </c>
      <c r="G89" s="14" t="s">
        <v>309</v>
      </c>
      <c r="H89" s="14" t="s">
        <v>414</v>
      </c>
    </row>
    <row r="90" customFormat="false" ht="15" hidden="false" customHeight="false" outlineLevel="0" collapsed="false">
      <c r="A90" s="9" t="s">
        <v>80</v>
      </c>
      <c r="B90" s="9" t="s">
        <v>74</v>
      </c>
      <c r="C90" s="9" t="s">
        <v>330</v>
      </c>
      <c r="D90" s="9" t="s">
        <v>48</v>
      </c>
      <c r="E90" s="9" t="s">
        <v>308</v>
      </c>
      <c r="F90" s="11" t="n">
        <v>398</v>
      </c>
      <c r="G90" s="9" t="s">
        <v>309</v>
      </c>
      <c r="H90" s="9" t="s">
        <v>415</v>
      </c>
    </row>
    <row r="91" customFormat="false" ht="15" hidden="false" customHeight="false" outlineLevel="0" collapsed="false">
      <c r="A91" s="14" t="s">
        <v>80</v>
      </c>
      <c r="B91" s="14" t="s">
        <v>74</v>
      </c>
      <c r="C91" s="14" t="s">
        <v>311</v>
      </c>
      <c r="D91" s="14" t="s">
        <v>41</v>
      </c>
      <c r="E91" s="14" t="s">
        <v>308</v>
      </c>
      <c r="F91" s="16" t="n">
        <v>419.55</v>
      </c>
      <c r="G91" s="14" t="s">
        <v>309</v>
      </c>
      <c r="H91" s="14" t="s">
        <v>416</v>
      </c>
    </row>
    <row r="92" customFormat="false" ht="15" hidden="false" customHeight="false" outlineLevel="0" collapsed="false">
      <c r="A92" s="9" t="s">
        <v>80</v>
      </c>
      <c r="B92" s="9" t="s">
        <v>74</v>
      </c>
      <c r="C92" s="9" t="s">
        <v>306</v>
      </c>
      <c r="D92" s="9" t="s">
        <v>307</v>
      </c>
      <c r="E92" s="9" t="s">
        <v>57</v>
      </c>
      <c r="F92" s="11" t="n">
        <v>700</v>
      </c>
      <c r="G92" s="9" t="s">
        <v>309</v>
      </c>
      <c r="H92" s="9" t="s">
        <v>417</v>
      </c>
    </row>
    <row r="93" customFormat="false" ht="15" hidden="false" customHeight="false" outlineLevel="0" collapsed="false">
      <c r="A93" s="14" t="s">
        <v>84</v>
      </c>
      <c r="B93" s="14" t="s">
        <v>63</v>
      </c>
      <c r="C93" s="14" t="s">
        <v>306</v>
      </c>
      <c r="D93" s="14" t="s">
        <v>307</v>
      </c>
      <c r="E93" s="14" t="s">
        <v>308</v>
      </c>
      <c r="F93" s="16" t="n">
        <v>617.99</v>
      </c>
      <c r="G93" s="14" t="s">
        <v>309</v>
      </c>
      <c r="H93" s="14" t="s">
        <v>418</v>
      </c>
    </row>
    <row r="94" customFormat="false" ht="15" hidden="false" customHeight="false" outlineLevel="0" collapsed="false">
      <c r="A94" s="9" t="s">
        <v>84</v>
      </c>
      <c r="B94" s="9" t="s">
        <v>63</v>
      </c>
      <c r="C94" s="9" t="s">
        <v>330</v>
      </c>
      <c r="D94" s="9" t="s">
        <v>48</v>
      </c>
      <c r="E94" s="9" t="s">
        <v>308</v>
      </c>
      <c r="F94" s="11" t="n">
        <v>729</v>
      </c>
      <c r="G94" s="9" t="s">
        <v>309</v>
      </c>
      <c r="H94" s="9" t="s">
        <v>419</v>
      </c>
    </row>
    <row r="95" customFormat="false" ht="15" hidden="false" customHeight="false" outlineLevel="0" collapsed="false">
      <c r="A95" s="14" t="s">
        <v>84</v>
      </c>
      <c r="B95" s="14" t="s">
        <v>40</v>
      </c>
      <c r="C95" s="14" t="s">
        <v>306</v>
      </c>
      <c r="D95" s="14" t="s">
        <v>307</v>
      </c>
      <c r="E95" s="14" t="s">
        <v>346</v>
      </c>
      <c r="F95" s="16" t="n">
        <v>500</v>
      </c>
      <c r="G95" s="14" t="s">
        <v>309</v>
      </c>
      <c r="H95" s="14" t="s">
        <v>420</v>
      </c>
    </row>
    <row r="96" customFormat="false" ht="15" hidden="false" customHeight="false" outlineLevel="0" collapsed="false">
      <c r="A96" s="9" t="s">
        <v>84</v>
      </c>
      <c r="B96" s="9" t="s">
        <v>40</v>
      </c>
      <c r="C96" s="9" t="s">
        <v>306</v>
      </c>
      <c r="D96" s="9" t="s">
        <v>307</v>
      </c>
      <c r="E96" s="9" t="s">
        <v>335</v>
      </c>
      <c r="F96" s="11" t="n">
        <v>500</v>
      </c>
      <c r="G96" s="9" t="s">
        <v>309</v>
      </c>
      <c r="H96" s="9" t="s">
        <v>421</v>
      </c>
    </row>
    <row r="97" customFormat="false" ht="15" hidden="false" customHeight="false" outlineLevel="0" collapsed="false">
      <c r="A97" s="14" t="s">
        <v>84</v>
      </c>
      <c r="B97" s="14" t="s">
        <v>40</v>
      </c>
      <c r="C97" s="14" t="s">
        <v>306</v>
      </c>
      <c r="D97" s="14" t="s">
        <v>307</v>
      </c>
      <c r="E97" s="14" t="s">
        <v>335</v>
      </c>
      <c r="F97" s="16" t="n">
        <v>550</v>
      </c>
      <c r="G97" s="14" t="s">
        <v>309</v>
      </c>
      <c r="H97" s="14" t="s">
        <v>422</v>
      </c>
    </row>
    <row r="98" customFormat="false" ht="15" hidden="false" customHeight="false" outlineLevel="0" collapsed="false">
      <c r="A98" s="9" t="s">
        <v>84</v>
      </c>
      <c r="B98" s="9" t="s">
        <v>40</v>
      </c>
      <c r="C98" s="9" t="s">
        <v>306</v>
      </c>
      <c r="D98" s="9" t="s">
        <v>307</v>
      </c>
      <c r="E98" s="9" t="s">
        <v>57</v>
      </c>
      <c r="F98" s="11" t="n">
        <v>599.99</v>
      </c>
      <c r="G98" s="9" t="s">
        <v>309</v>
      </c>
      <c r="H98" s="9" t="s">
        <v>423</v>
      </c>
    </row>
    <row r="99" customFormat="false" ht="15" hidden="false" customHeight="false" outlineLevel="0" collapsed="false">
      <c r="A99" s="14" t="s">
        <v>84</v>
      </c>
      <c r="B99" s="14" t="s">
        <v>40</v>
      </c>
      <c r="C99" s="14" t="s">
        <v>306</v>
      </c>
      <c r="D99" s="14" t="s">
        <v>307</v>
      </c>
      <c r="E99" s="14" t="s">
        <v>308</v>
      </c>
      <c r="F99" s="16" t="n">
        <v>600</v>
      </c>
      <c r="G99" s="14" t="s">
        <v>309</v>
      </c>
      <c r="H99" s="14" t="s">
        <v>424</v>
      </c>
    </row>
    <row r="100" customFormat="false" ht="15" hidden="false" customHeight="false" outlineLevel="0" collapsed="false">
      <c r="A100" s="9" t="s">
        <v>84</v>
      </c>
      <c r="B100" s="9" t="s">
        <v>47</v>
      </c>
      <c r="C100" s="9" t="s">
        <v>306</v>
      </c>
      <c r="D100" s="9" t="s">
        <v>307</v>
      </c>
      <c r="E100" s="9" t="s">
        <v>308</v>
      </c>
      <c r="F100" s="11" t="n">
        <v>495</v>
      </c>
      <c r="G100" s="9" t="s">
        <v>309</v>
      </c>
      <c r="H100" s="9" t="s">
        <v>425</v>
      </c>
    </row>
    <row r="101" customFormat="false" ht="15" hidden="false" customHeight="false" outlineLevel="0" collapsed="false">
      <c r="A101" s="14" t="s">
        <v>84</v>
      </c>
      <c r="B101" s="14" t="s">
        <v>47</v>
      </c>
      <c r="C101" s="14" t="s">
        <v>306</v>
      </c>
      <c r="D101" s="14" t="s">
        <v>307</v>
      </c>
      <c r="E101" s="14" t="s">
        <v>308</v>
      </c>
      <c r="F101" s="16" t="n">
        <v>545</v>
      </c>
      <c r="G101" s="14" t="s">
        <v>309</v>
      </c>
      <c r="H101" s="14" t="s">
        <v>426</v>
      </c>
    </row>
    <row r="102" customFormat="false" ht="15" hidden="false" customHeight="false" outlineLevel="0" collapsed="false">
      <c r="A102" s="9" t="s">
        <v>84</v>
      </c>
      <c r="B102" s="9" t="s">
        <v>47</v>
      </c>
      <c r="C102" s="9" t="s">
        <v>306</v>
      </c>
      <c r="D102" s="9" t="s">
        <v>307</v>
      </c>
      <c r="E102" s="9" t="s">
        <v>308</v>
      </c>
      <c r="F102" s="11" t="n">
        <v>548</v>
      </c>
      <c r="G102" s="9" t="s">
        <v>309</v>
      </c>
      <c r="H102" s="9" t="s">
        <v>427</v>
      </c>
    </row>
    <row r="103" customFormat="false" ht="15" hidden="false" customHeight="false" outlineLevel="0" collapsed="false">
      <c r="A103" s="14" t="s">
        <v>84</v>
      </c>
      <c r="B103" s="14" t="s">
        <v>47</v>
      </c>
      <c r="C103" s="14" t="s">
        <v>306</v>
      </c>
      <c r="D103" s="14" t="s">
        <v>307</v>
      </c>
      <c r="E103" s="14" t="s">
        <v>308</v>
      </c>
      <c r="F103" s="16" t="n">
        <v>548.09</v>
      </c>
      <c r="G103" s="14" t="s">
        <v>309</v>
      </c>
      <c r="H103" s="14" t="s">
        <v>428</v>
      </c>
    </row>
    <row r="104" customFormat="false" ht="15" hidden="false" customHeight="false" outlineLevel="0" collapsed="false">
      <c r="A104" s="9" t="s">
        <v>84</v>
      </c>
      <c r="B104" s="9" t="s">
        <v>47</v>
      </c>
      <c r="C104" s="9" t="s">
        <v>306</v>
      </c>
      <c r="D104" s="9" t="s">
        <v>307</v>
      </c>
      <c r="E104" s="9" t="s">
        <v>308</v>
      </c>
      <c r="F104" s="11" t="n">
        <v>549</v>
      </c>
      <c r="G104" s="9" t="s">
        <v>429</v>
      </c>
      <c r="H104" s="9" t="s">
        <v>430</v>
      </c>
    </row>
    <row r="105" customFormat="false" ht="15" hidden="false" customHeight="false" outlineLevel="0" collapsed="false">
      <c r="A105" s="14" t="s">
        <v>84</v>
      </c>
      <c r="B105" s="14" t="s">
        <v>47</v>
      </c>
      <c r="C105" s="14" t="s">
        <v>306</v>
      </c>
      <c r="D105" s="14" t="s">
        <v>307</v>
      </c>
      <c r="E105" s="14" t="s">
        <v>308</v>
      </c>
      <c r="F105" s="16" t="n">
        <v>549.99</v>
      </c>
      <c r="G105" s="14" t="s">
        <v>309</v>
      </c>
      <c r="H105" s="14" t="s">
        <v>431</v>
      </c>
    </row>
    <row r="106" customFormat="false" ht="15" hidden="false" customHeight="false" outlineLevel="0" collapsed="false">
      <c r="A106" s="9" t="s">
        <v>84</v>
      </c>
      <c r="B106" s="9" t="s">
        <v>47</v>
      </c>
      <c r="C106" s="9" t="s">
        <v>306</v>
      </c>
      <c r="D106" s="9" t="s">
        <v>307</v>
      </c>
      <c r="E106" s="9" t="s">
        <v>308</v>
      </c>
      <c r="F106" s="11" t="n">
        <v>550</v>
      </c>
      <c r="G106" s="9" t="s">
        <v>309</v>
      </c>
      <c r="H106" s="9" t="s">
        <v>432</v>
      </c>
    </row>
    <row r="107" customFormat="false" ht="15" hidden="false" customHeight="false" outlineLevel="0" collapsed="false">
      <c r="A107" s="14" t="s">
        <v>84</v>
      </c>
      <c r="B107" s="14" t="s">
        <v>47</v>
      </c>
      <c r="C107" s="14" t="s">
        <v>306</v>
      </c>
      <c r="D107" s="14" t="s">
        <v>307</v>
      </c>
      <c r="E107" s="14" t="s">
        <v>308</v>
      </c>
      <c r="F107" s="16" t="n">
        <v>550</v>
      </c>
      <c r="G107" s="14" t="s">
        <v>309</v>
      </c>
      <c r="H107" s="14" t="s">
        <v>433</v>
      </c>
    </row>
    <row r="108" customFormat="false" ht="15" hidden="false" customHeight="false" outlineLevel="0" collapsed="false">
      <c r="A108" s="9" t="s">
        <v>84</v>
      </c>
      <c r="B108" s="9" t="s">
        <v>47</v>
      </c>
      <c r="C108" s="9" t="s">
        <v>306</v>
      </c>
      <c r="D108" s="9" t="s">
        <v>307</v>
      </c>
      <c r="E108" s="9" t="s">
        <v>308</v>
      </c>
      <c r="F108" s="11" t="n">
        <v>580</v>
      </c>
      <c r="G108" s="9" t="s">
        <v>309</v>
      </c>
      <c r="H108" s="9" t="s">
        <v>434</v>
      </c>
    </row>
    <row r="109" customFormat="false" ht="15" hidden="false" customHeight="false" outlineLevel="0" collapsed="false">
      <c r="A109" s="14" t="s">
        <v>84</v>
      </c>
      <c r="B109" s="14" t="s">
        <v>47</v>
      </c>
      <c r="C109" s="14" t="s">
        <v>355</v>
      </c>
      <c r="D109" s="14" t="s">
        <v>60</v>
      </c>
      <c r="E109" s="14" t="s">
        <v>308</v>
      </c>
      <c r="F109" s="16" t="n">
        <v>599.99</v>
      </c>
      <c r="G109" s="14" t="s">
        <v>309</v>
      </c>
      <c r="H109" s="14" t="s">
        <v>435</v>
      </c>
    </row>
    <row r="110" customFormat="false" ht="15" hidden="false" customHeight="false" outlineLevel="0" collapsed="false">
      <c r="A110" s="9" t="s">
        <v>84</v>
      </c>
      <c r="B110" s="9" t="s">
        <v>47</v>
      </c>
      <c r="C110" s="9" t="s">
        <v>369</v>
      </c>
      <c r="D110" s="9" t="s">
        <v>53</v>
      </c>
      <c r="E110" s="9" t="s">
        <v>308</v>
      </c>
      <c r="F110" s="11" t="n">
        <v>649.99</v>
      </c>
      <c r="G110" s="9" t="s">
        <v>309</v>
      </c>
      <c r="H110" s="9" t="s">
        <v>436</v>
      </c>
    </row>
    <row r="111" customFormat="false" ht="15" hidden="false" customHeight="false" outlineLevel="0" collapsed="false">
      <c r="A111" s="14" t="s">
        <v>84</v>
      </c>
      <c r="B111" s="14" t="s">
        <v>47</v>
      </c>
      <c r="C111" s="14" t="s">
        <v>369</v>
      </c>
      <c r="D111" s="14" t="s">
        <v>53</v>
      </c>
      <c r="E111" s="14" t="s">
        <v>308</v>
      </c>
      <c r="F111" s="16" t="n">
        <v>671.51</v>
      </c>
      <c r="G111" s="14" t="s">
        <v>309</v>
      </c>
      <c r="H111" s="14" t="s">
        <v>437</v>
      </c>
    </row>
    <row r="112" customFormat="false" ht="15" hidden="false" customHeight="false" outlineLevel="0" collapsed="false">
      <c r="A112" s="9" t="s">
        <v>84</v>
      </c>
      <c r="B112" s="9" t="s">
        <v>47</v>
      </c>
      <c r="C112" s="9" t="s">
        <v>311</v>
      </c>
      <c r="D112" s="9" t="s">
        <v>41</v>
      </c>
      <c r="E112" s="9" t="s">
        <v>308</v>
      </c>
      <c r="F112" s="11" t="n">
        <v>725</v>
      </c>
      <c r="G112" s="9" t="s">
        <v>309</v>
      </c>
      <c r="H112" s="9" t="s">
        <v>438</v>
      </c>
    </row>
    <row r="113" customFormat="false" ht="15" hidden="false" customHeight="false" outlineLevel="0" collapsed="false">
      <c r="A113" s="14" t="s">
        <v>84</v>
      </c>
      <c r="B113" s="14" t="s">
        <v>74</v>
      </c>
      <c r="C113" s="14" t="s">
        <v>306</v>
      </c>
      <c r="D113" s="14" t="s">
        <v>307</v>
      </c>
      <c r="E113" s="14" t="s">
        <v>335</v>
      </c>
      <c r="F113" s="16" t="n">
        <v>200</v>
      </c>
      <c r="G113" s="14" t="s">
        <v>309</v>
      </c>
      <c r="H113" s="14" t="s">
        <v>439</v>
      </c>
    </row>
    <row r="114" customFormat="false" ht="15" hidden="false" customHeight="false" outlineLevel="0" collapsed="false">
      <c r="A114" s="9" t="s">
        <v>91</v>
      </c>
      <c r="B114" s="9" t="s">
        <v>63</v>
      </c>
      <c r="C114" s="9" t="s">
        <v>311</v>
      </c>
      <c r="D114" s="9" t="s">
        <v>41</v>
      </c>
      <c r="E114" s="9" t="s">
        <v>308</v>
      </c>
      <c r="F114" s="11" t="n">
        <v>716</v>
      </c>
      <c r="G114" s="9" t="s">
        <v>309</v>
      </c>
      <c r="H114" s="9" t="s">
        <v>440</v>
      </c>
    </row>
    <row r="115" customFormat="false" ht="15" hidden="false" customHeight="false" outlineLevel="0" collapsed="false">
      <c r="A115" s="14" t="s">
        <v>91</v>
      </c>
      <c r="B115" s="14" t="s">
        <v>40</v>
      </c>
      <c r="C115" s="14" t="s">
        <v>330</v>
      </c>
      <c r="D115" s="14" t="s">
        <v>48</v>
      </c>
      <c r="E115" s="14" t="s">
        <v>308</v>
      </c>
      <c r="F115" s="16" t="n">
        <v>668.79</v>
      </c>
      <c r="G115" s="14" t="s">
        <v>309</v>
      </c>
      <c r="H115" s="14" t="s">
        <v>441</v>
      </c>
    </row>
    <row r="116" customFormat="false" ht="15" hidden="false" customHeight="false" outlineLevel="0" collapsed="false">
      <c r="A116" s="9" t="s">
        <v>91</v>
      </c>
      <c r="B116" s="9" t="s">
        <v>47</v>
      </c>
      <c r="C116" s="9" t="s">
        <v>306</v>
      </c>
      <c r="D116" s="9" t="s">
        <v>307</v>
      </c>
      <c r="E116" s="9" t="s">
        <v>308</v>
      </c>
      <c r="F116" s="11" t="n">
        <v>450</v>
      </c>
      <c r="G116" s="9" t="s">
        <v>309</v>
      </c>
      <c r="H116" s="9" t="s">
        <v>442</v>
      </c>
    </row>
    <row r="117" customFormat="false" ht="15" hidden="false" customHeight="false" outlineLevel="0" collapsed="false">
      <c r="A117" s="14" t="s">
        <v>91</v>
      </c>
      <c r="B117" s="14" t="s">
        <v>47</v>
      </c>
      <c r="C117" s="14" t="s">
        <v>306</v>
      </c>
      <c r="D117" s="14" t="s">
        <v>307</v>
      </c>
      <c r="E117" s="14" t="s">
        <v>308</v>
      </c>
      <c r="F117" s="16" t="n">
        <v>504.99</v>
      </c>
      <c r="G117" s="14" t="s">
        <v>309</v>
      </c>
      <c r="H117" s="14" t="s">
        <v>443</v>
      </c>
    </row>
    <row r="118" customFormat="false" ht="15" hidden="false" customHeight="false" outlineLevel="0" collapsed="false">
      <c r="A118" s="9" t="s">
        <v>91</v>
      </c>
      <c r="B118" s="9" t="s">
        <v>47</v>
      </c>
      <c r="C118" s="9" t="s">
        <v>355</v>
      </c>
      <c r="D118" s="9" t="s">
        <v>60</v>
      </c>
      <c r="E118" s="9" t="s">
        <v>308</v>
      </c>
      <c r="F118" s="11" t="n">
        <v>532.34</v>
      </c>
      <c r="G118" s="9" t="s">
        <v>309</v>
      </c>
      <c r="H118" s="9" t="s">
        <v>444</v>
      </c>
    </row>
    <row r="119" customFormat="false" ht="15" hidden="false" customHeight="false" outlineLevel="0" collapsed="false">
      <c r="A119" s="14" t="s">
        <v>91</v>
      </c>
      <c r="B119" s="14" t="s">
        <v>47</v>
      </c>
      <c r="C119" s="14" t="s">
        <v>306</v>
      </c>
      <c r="D119" s="14" t="s">
        <v>307</v>
      </c>
      <c r="E119" s="14" t="s">
        <v>57</v>
      </c>
      <c r="F119" s="16" t="n">
        <v>549</v>
      </c>
      <c r="G119" s="14" t="s">
        <v>309</v>
      </c>
      <c r="H119" s="14" t="s">
        <v>445</v>
      </c>
    </row>
    <row r="120" customFormat="false" ht="15" hidden="false" customHeight="false" outlineLevel="0" collapsed="false">
      <c r="A120" s="9" t="s">
        <v>91</v>
      </c>
      <c r="B120" s="9" t="s">
        <v>47</v>
      </c>
      <c r="C120" s="9" t="s">
        <v>369</v>
      </c>
      <c r="D120" s="9" t="s">
        <v>53</v>
      </c>
      <c r="E120" s="9" t="s">
        <v>308</v>
      </c>
      <c r="F120" s="11" t="n">
        <v>581.28</v>
      </c>
      <c r="G120" s="9" t="s">
        <v>309</v>
      </c>
      <c r="H120" s="9" t="s">
        <v>445</v>
      </c>
    </row>
    <row r="121" customFormat="false" ht="15" hidden="false" customHeight="false" outlineLevel="0" collapsed="false">
      <c r="A121" s="14" t="s">
        <v>91</v>
      </c>
      <c r="B121" s="14" t="s">
        <v>47</v>
      </c>
      <c r="C121" s="14" t="s">
        <v>369</v>
      </c>
      <c r="D121" s="14" t="s">
        <v>53</v>
      </c>
      <c r="E121" s="14" t="s">
        <v>308</v>
      </c>
      <c r="F121" s="16" t="n">
        <v>588.85</v>
      </c>
      <c r="G121" s="14" t="s">
        <v>309</v>
      </c>
      <c r="H121" s="14" t="s">
        <v>446</v>
      </c>
    </row>
    <row r="122" customFormat="false" ht="15" hidden="false" customHeight="false" outlineLevel="0" collapsed="false">
      <c r="A122" s="9" t="s">
        <v>91</v>
      </c>
      <c r="B122" s="9" t="s">
        <v>74</v>
      </c>
      <c r="C122" s="9" t="s">
        <v>306</v>
      </c>
      <c r="D122" s="9" t="s">
        <v>307</v>
      </c>
      <c r="E122" s="9" t="s">
        <v>57</v>
      </c>
      <c r="F122" s="11" t="n">
        <v>349.99</v>
      </c>
      <c r="G122" s="9" t="s">
        <v>309</v>
      </c>
      <c r="H122" s="9" t="s">
        <v>447</v>
      </c>
    </row>
    <row r="123" customFormat="false" ht="15" hidden="false" customHeight="false" outlineLevel="0" collapsed="false">
      <c r="A123" s="14" t="s">
        <v>91</v>
      </c>
      <c r="B123" s="14" t="s">
        <v>74</v>
      </c>
      <c r="C123" s="14" t="s">
        <v>306</v>
      </c>
      <c r="D123" s="14" t="s">
        <v>307</v>
      </c>
      <c r="E123" s="14" t="s">
        <v>308</v>
      </c>
      <c r="F123" s="16" t="n">
        <v>425</v>
      </c>
      <c r="G123" s="14" t="s">
        <v>309</v>
      </c>
      <c r="H123" s="14" t="s">
        <v>448</v>
      </c>
    </row>
    <row r="124" customFormat="false" ht="15" hidden="false" customHeight="false" outlineLevel="0" collapsed="false">
      <c r="A124" s="9" t="s">
        <v>91</v>
      </c>
      <c r="B124" s="9" t="s">
        <v>74</v>
      </c>
      <c r="C124" s="9" t="s">
        <v>306</v>
      </c>
      <c r="D124" s="9" t="s">
        <v>307</v>
      </c>
      <c r="E124" s="9" t="s">
        <v>308</v>
      </c>
      <c r="F124" s="11" t="n">
        <v>499.99</v>
      </c>
      <c r="G124" s="9" t="s">
        <v>309</v>
      </c>
      <c r="H124" s="9" t="s">
        <v>449</v>
      </c>
    </row>
    <row r="125" customFormat="false" ht="15" hidden="false" customHeight="false" outlineLevel="0" collapsed="false">
      <c r="A125" s="14" t="s">
        <v>91</v>
      </c>
      <c r="B125" s="14" t="s">
        <v>74</v>
      </c>
      <c r="C125" s="14" t="s">
        <v>306</v>
      </c>
      <c r="D125" s="14" t="s">
        <v>307</v>
      </c>
      <c r="E125" s="14" t="s">
        <v>308</v>
      </c>
      <c r="F125" s="16" t="n">
        <v>544.99</v>
      </c>
      <c r="G125" s="14" t="s">
        <v>309</v>
      </c>
      <c r="H125" s="14" t="s">
        <v>450</v>
      </c>
    </row>
    <row r="126" customFormat="false" ht="15" hidden="false" customHeight="false" outlineLevel="0" collapsed="false">
      <c r="A126" s="9" t="s">
        <v>97</v>
      </c>
      <c r="B126" s="9" t="s">
        <v>40</v>
      </c>
      <c r="C126" s="9" t="s">
        <v>306</v>
      </c>
      <c r="D126" s="9" t="s">
        <v>307</v>
      </c>
      <c r="E126" s="9" t="s">
        <v>335</v>
      </c>
      <c r="F126" s="11" t="n">
        <v>500</v>
      </c>
      <c r="G126" s="9" t="s">
        <v>309</v>
      </c>
      <c r="H126" s="9" t="s">
        <v>451</v>
      </c>
    </row>
    <row r="127" customFormat="false" ht="15" hidden="false" customHeight="false" outlineLevel="0" collapsed="false">
      <c r="A127" s="14" t="s">
        <v>97</v>
      </c>
      <c r="B127" s="14" t="s">
        <v>40</v>
      </c>
      <c r="C127" s="14" t="s">
        <v>369</v>
      </c>
      <c r="D127" s="14" t="s">
        <v>53</v>
      </c>
      <c r="E127" s="14" t="s">
        <v>308</v>
      </c>
      <c r="F127" s="16" t="n">
        <v>528.4</v>
      </c>
      <c r="G127" s="14" t="s">
        <v>309</v>
      </c>
      <c r="H127" s="14" t="s">
        <v>452</v>
      </c>
    </row>
    <row r="128" customFormat="false" ht="15" hidden="false" customHeight="false" outlineLevel="0" collapsed="false">
      <c r="A128" s="9" t="s">
        <v>97</v>
      </c>
      <c r="B128" s="9" t="s">
        <v>47</v>
      </c>
      <c r="C128" s="9" t="s">
        <v>369</v>
      </c>
      <c r="D128" s="9" t="s">
        <v>53</v>
      </c>
      <c r="E128" s="9" t="s">
        <v>308</v>
      </c>
      <c r="F128" s="11" t="n">
        <v>471.45</v>
      </c>
      <c r="G128" s="9" t="s">
        <v>309</v>
      </c>
      <c r="H128" s="9" t="s">
        <v>453</v>
      </c>
    </row>
    <row r="129" customFormat="false" ht="15" hidden="false" customHeight="false" outlineLevel="0" collapsed="false">
      <c r="A129" s="14" t="s">
        <v>97</v>
      </c>
      <c r="B129" s="14" t="s">
        <v>74</v>
      </c>
      <c r="C129" s="14" t="s">
        <v>306</v>
      </c>
      <c r="D129" s="14" t="s">
        <v>307</v>
      </c>
      <c r="E129" s="14" t="s">
        <v>308</v>
      </c>
      <c r="F129" s="16" t="n">
        <v>360.69</v>
      </c>
      <c r="G129" s="14" t="s">
        <v>309</v>
      </c>
      <c r="H129" s="14" t="s">
        <v>454</v>
      </c>
    </row>
    <row r="130" customFormat="false" ht="15" hidden="false" customHeight="false" outlineLevel="0" collapsed="false">
      <c r="A130" s="9" t="s">
        <v>97</v>
      </c>
      <c r="B130" s="9" t="s">
        <v>74</v>
      </c>
      <c r="C130" s="9" t="s">
        <v>355</v>
      </c>
      <c r="D130" s="9" t="s">
        <v>60</v>
      </c>
      <c r="E130" s="9" t="s">
        <v>308</v>
      </c>
      <c r="F130" s="11" t="n">
        <v>390.99</v>
      </c>
      <c r="G130" s="9" t="s">
        <v>309</v>
      </c>
      <c r="H130" s="9" t="s">
        <v>455</v>
      </c>
    </row>
    <row r="131" customFormat="false" ht="15" hidden="false" customHeight="false" outlineLevel="0" collapsed="false">
      <c r="A131" s="14" t="s">
        <v>97</v>
      </c>
      <c r="B131" s="14" t="s">
        <v>74</v>
      </c>
      <c r="C131" s="14" t="s">
        <v>306</v>
      </c>
      <c r="D131" s="14" t="s">
        <v>307</v>
      </c>
      <c r="E131" s="14" t="s">
        <v>308</v>
      </c>
      <c r="F131" s="16" t="n">
        <v>399</v>
      </c>
      <c r="G131" s="14" t="s">
        <v>309</v>
      </c>
      <c r="H131" s="14" t="s">
        <v>456</v>
      </c>
    </row>
    <row r="132" customFormat="false" ht="15" hidden="false" customHeight="false" outlineLevel="0" collapsed="false">
      <c r="A132" s="9" t="s">
        <v>97</v>
      </c>
      <c r="B132" s="9" t="s">
        <v>74</v>
      </c>
      <c r="C132" s="9" t="s">
        <v>369</v>
      </c>
      <c r="D132" s="9" t="s">
        <v>53</v>
      </c>
      <c r="E132" s="9" t="s">
        <v>308</v>
      </c>
      <c r="F132" s="11" t="n">
        <v>403.99</v>
      </c>
      <c r="G132" s="9" t="s">
        <v>309</v>
      </c>
      <c r="H132" s="9" t="s">
        <v>457</v>
      </c>
    </row>
    <row r="133" customFormat="false" ht="15" hidden="false" customHeight="false" outlineLevel="0" collapsed="false">
      <c r="A133" s="14" t="s">
        <v>97</v>
      </c>
      <c r="B133" s="14" t="s">
        <v>74</v>
      </c>
      <c r="C133" s="14" t="s">
        <v>369</v>
      </c>
      <c r="D133" s="14" t="s">
        <v>53</v>
      </c>
      <c r="E133" s="14" t="s">
        <v>308</v>
      </c>
      <c r="F133" s="16" t="n">
        <v>414.99</v>
      </c>
      <c r="G133" s="14" t="s">
        <v>309</v>
      </c>
      <c r="H133" s="14" t="s">
        <v>458</v>
      </c>
    </row>
    <row r="134" customFormat="false" ht="15" hidden="false" customHeight="false" outlineLevel="0" collapsed="false">
      <c r="A134" s="9" t="s">
        <v>97</v>
      </c>
      <c r="B134" s="9" t="s">
        <v>74</v>
      </c>
      <c r="C134" s="9" t="s">
        <v>369</v>
      </c>
      <c r="D134" s="9" t="s">
        <v>53</v>
      </c>
      <c r="E134" s="9" t="s">
        <v>308</v>
      </c>
      <c r="F134" s="11" t="n">
        <v>418</v>
      </c>
      <c r="G134" s="9" t="s">
        <v>309</v>
      </c>
      <c r="H134" s="9" t="s">
        <v>459</v>
      </c>
    </row>
    <row r="135" customFormat="false" ht="15" hidden="false" customHeight="false" outlineLevel="0" collapsed="false">
      <c r="A135" s="14" t="s">
        <v>97</v>
      </c>
      <c r="B135" s="14" t="s">
        <v>74</v>
      </c>
      <c r="C135" s="14" t="s">
        <v>369</v>
      </c>
      <c r="D135" s="14" t="s">
        <v>53</v>
      </c>
      <c r="E135" s="14" t="s">
        <v>308</v>
      </c>
      <c r="F135" s="16" t="n">
        <v>418.8</v>
      </c>
      <c r="G135" s="14" t="s">
        <v>309</v>
      </c>
      <c r="H135" s="14" t="s">
        <v>460</v>
      </c>
    </row>
    <row r="136" customFormat="false" ht="15" hidden="false" customHeight="false" outlineLevel="0" collapsed="false">
      <c r="A136" s="9" t="s">
        <v>97</v>
      </c>
      <c r="B136" s="9" t="s">
        <v>74</v>
      </c>
      <c r="C136" s="9" t="s">
        <v>330</v>
      </c>
      <c r="D136" s="9" t="s">
        <v>48</v>
      </c>
      <c r="E136" s="9" t="s">
        <v>308</v>
      </c>
      <c r="F136" s="11" t="n">
        <v>426.99</v>
      </c>
      <c r="G136" s="9" t="s">
        <v>309</v>
      </c>
      <c r="H136" s="9" t="s">
        <v>461</v>
      </c>
    </row>
    <row r="137" customFormat="false" ht="15" hidden="false" customHeight="false" outlineLevel="0" collapsed="false">
      <c r="A137" s="14" t="s">
        <v>97</v>
      </c>
      <c r="B137" s="14" t="s">
        <v>74</v>
      </c>
      <c r="C137" s="14" t="s">
        <v>311</v>
      </c>
      <c r="D137" s="14" t="s">
        <v>41</v>
      </c>
      <c r="E137" s="14" t="s">
        <v>308</v>
      </c>
      <c r="F137" s="16" t="n">
        <v>500</v>
      </c>
      <c r="G137" s="14" t="s">
        <v>309</v>
      </c>
      <c r="H137" s="14" t="s">
        <v>462</v>
      </c>
    </row>
    <row r="138" customFormat="false" ht="15" hidden="false" customHeight="false" outlineLevel="0" collapsed="false">
      <c r="A138" s="9" t="s">
        <v>103</v>
      </c>
      <c r="B138" s="9" t="s">
        <v>40</v>
      </c>
      <c r="C138" s="9" t="s">
        <v>306</v>
      </c>
      <c r="D138" s="9" t="s">
        <v>307</v>
      </c>
      <c r="E138" s="9" t="s">
        <v>308</v>
      </c>
      <c r="F138" s="11" t="n">
        <v>399</v>
      </c>
      <c r="G138" s="9" t="s">
        <v>309</v>
      </c>
      <c r="H138" s="9" t="s">
        <v>463</v>
      </c>
    </row>
    <row r="139" customFormat="false" ht="15" hidden="false" customHeight="false" outlineLevel="0" collapsed="false">
      <c r="A139" s="14" t="s">
        <v>103</v>
      </c>
      <c r="B139" s="14" t="s">
        <v>40</v>
      </c>
      <c r="C139" s="14" t="s">
        <v>311</v>
      </c>
      <c r="D139" s="14" t="s">
        <v>41</v>
      </c>
      <c r="E139" s="14" t="s">
        <v>308</v>
      </c>
      <c r="F139" s="16" t="n">
        <v>429.77</v>
      </c>
      <c r="G139" s="14" t="s">
        <v>309</v>
      </c>
      <c r="H139" s="14" t="s">
        <v>464</v>
      </c>
    </row>
    <row r="140" customFormat="false" ht="15" hidden="false" customHeight="false" outlineLevel="0" collapsed="false">
      <c r="A140" s="9" t="s">
        <v>103</v>
      </c>
      <c r="B140" s="9" t="s">
        <v>47</v>
      </c>
      <c r="C140" s="9" t="s">
        <v>306</v>
      </c>
      <c r="D140" s="9" t="s">
        <v>307</v>
      </c>
      <c r="E140" s="9" t="s">
        <v>57</v>
      </c>
      <c r="F140" s="11" t="n">
        <v>233.99</v>
      </c>
      <c r="G140" s="9" t="s">
        <v>309</v>
      </c>
      <c r="H140" s="9" t="s">
        <v>465</v>
      </c>
    </row>
    <row r="141" customFormat="false" ht="15" hidden="false" customHeight="false" outlineLevel="0" collapsed="false">
      <c r="A141" s="14" t="s">
        <v>103</v>
      </c>
      <c r="B141" s="14" t="s">
        <v>47</v>
      </c>
      <c r="C141" s="14" t="s">
        <v>330</v>
      </c>
      <c r="D141" s="14" t="s">
        <v>48</v>
      </c>
      <c r="E141" s="14" t="s">
        <v>308</v>
      </c>
      <c r="F141" s="16" t="n">
        <v>479</v>
      </c>
      <c r="G141" s="14" t="s">
        <v>309</v>
      </c>
      <c r="H141" s="14" t="s">
        <v>466</v>
      </c>
    </row>
    <row r="142" customFormat="false" ht="15" hidden="false" customHeight="false" outlineLevel="0" collapsed="false">
      <c r="A142" s="9" t="s">
        <v>103</v>
      </c>
      <c r="B142" s="9" t="s">
        <v>47</v>
      </c>
      <c r="C142" s="9" t="s">
        <v>306</v>
      </c>
      <c r="D142" s="9" t="s">
        <v>307</v>
      </c>
      <c r="E142" s="9" t="s">
        <v>308</v>
      </c>
      <c r="F142" s="11" t="n">
        <v>480</v>
      </c>
      <c r="G142" s="9" t="s">
        <v>309</v>
      </c>
      <c r="H142" s="9" t="s">
        <v>467</v>
      </c>
    </row>
    <row r="143" customFormat="false" ht="15" hidden="false" customHeight="false" outlineLevel="0" collapsed="false">
      <c r="A143" s="14" t="s">
        <v>103</v>
      </c>
      <c r="B143" s="14" t="s">
        <v>74</v>
      </c>
      <c r="C143" s="14" t="s">
        <v>306</v>
      </c>
      <c r="D143" s="14" t="s">
        <v>307</v>
      </c>
      <c r="E143" s="14" t="s">
        <v>308</v>
      </c>
      <c r="F143" s="16" t="n">
        <v>250</v>
      </c>
      <c r="G143" s="14" t="s">
        <v>309</v>
      </c>
      <c r="H143" s="14" t="s">
        <v>468</v>
      </c>
    </row>
    <row r="144" customFormat="false" ht="15" hidden="false" customHeight="false" outlineLevel="0" collapsed="false">
      <c r="A144" s="9" t="s">
        <v>103</v>
      </c>
      <c r="B144" s="9" t="s">
        <v>74</v>
      </c>
      <c r="C144" s="9" t="s">
        <v>306</v>
      </c>
      <c r="D144" s="9" t="s">
        <v>307</v>
      </c>
      <c r="E144" s="9" t="s">
        <v>308</v>
      </c>
      <c r="F144" s="11" t="n">
        <v>250</v>
      </c>
      <c r="G144" s="9" t="s">
        <v>309</v>
      </c>
      <c r="H144" s="9" t="s">
        <v>468</v>
      </c>
    </row>
    <row r="145" customFormat="false" ht="15" hidden="false" customHeight="false" outlineLevel="0" collapsed="false">
      <c r="A145" s="14" t="s">
        <v>103</v>
      </c>
      <c r="B145" s="14" t="s">
        <v>74</v>
      </c>
      <c r="C145" s="14" t="s">
        <v>469</v>
      </c>
      <c r="D145" s="14" t="s">
        <v>41</v>
      </c>
      <c r="E145" s="14" t="s">
        <v>308</v>
      </c>
      <c r="F145" s="16" t="n">
        <v>299.55</v>
      </c>
      <c r="G145" s="14" t="s">
        <v>309</v>
      </c>
      <c r="H145" s="14" t="s">
        <v>470</v>
      </c>
    </row>
    <row r="146" customFormat="false" ht="15" hidden="false" customHeight="false" outlineLevel="0" collapsed="false">
      <c r="A146" s="9" t="s">
        <v>103</v>
      </c>
      <c r="B146" s="9" t="s">
        <v>74</v>
      </c>
      <c r="C146" s="9" t="s">
        <v>306</v>
      </c>
      <c r="D146" s="9" t="s">
        <v>307</v>
      </c>
      <c r="E146" s="9" t="s">
        <v>308</v>
      </c>
      <c r="F146" s="11" t="n">
        <v>322.39</v>
      </c>
      <c r="G146" s="9" t="s">
        <v>309</v>
      </c>
      <c r="H146" s="9" t="s">
        <v>471</v>
      </c>
    </row>
    <row r="147" customFormat="false" ht="15" hidden="false" customHeight="false" outlineLevel="0" collapsed="false">
      <c r="A147" s="14" t="s">
        <v>103</v>
      </c>
      <c r="B147" s="14" t="s">
        <v>74</v>
      </c>
      <c r="C147" s="14" t="s">
        <v>306</v>
      </c>
      <c r="D147" s="14" t="s">
        <v>307</v>
      </c>
      <c r="E147" s="14" t="s">
        <v>308</v>
      </c>
      <c r="F147" s="16" t="n">
        <v>322.39</v>
      </c>
      <c r="G147" s="14" t="s">
        <v>309</v>
      </c>
      <c r="H147" s="14" t="s">
        <v>472</v>
      </c>
    </row>
    <row r="148" customFormat="false" ht="15" hidden="false" customHeight="false" outlineLevel="0" collapsed="false">
      <c r="A148" s="9" t="s">
        <v>103</v>
      </c>
      <c r="B148" s="9" t="s">
        <v>74</v>
      </c>
      <c r="C148" s="9" t="s">
        <v>306</v>
      </c>
      <c r="D148" s="9" t="s">
        <v>307</v>
      </c>
      <c r="E148" s="9" t="s">
        <v>308</v>
      </c>
      <c r="F148" s="11" t="n">
        <v>325</v>
      </c>
      <c r="G148" s="9" t="s">
        <v>309</v>
      </c>
      <c r="H148" s="9" t="s">
        <v>473</v>
      </c>
    </row>
    <row r="149" customFormat="false" ht="15" hidden="false" customHeight="false" outlineLevel="0" collapsed="false">
      <c r="A149" s="14" t="s">
        <v>103</v>
      </c>
      <c r="B149" s="14" t="s">
        <v>74</v>
      </c>
      <c r="C149" s="14" t="s">
        <v>306</v>
      </c>
      <c r="D149" s="14" t="s">
        <v>307</v>
      </c>
      <c r="E149" s="14" t="s">
        <v>308</v>
      </c>
      <c r="F149" s="16" t="n">
        <v>325</v>
      </c>
      <c r="G149" s="14" t="s">
        <v>309</v>
      </c>
      <c r="H149" s="14" t="s">
        <v>473</v>
      </c>
    </row>
    <row r="150" customFormat="false" ht="15" hidden="false" customHeight="false" outlineLevel="0" collapsed="false">
      <c r="A150" s="9" t="s">
        <v>103</v>
      </c>
      <c r="B150" s="9" t="s">
        <v>74</v>
      </c>
      <c r="C150" s="9" t="s">
        <v>306</v>
      </c>
      <c r="D150" s="9" t="s">
        <v>307</v>
      </c>
      <c r="E150" s="9" t="s">
        <v>308</v>
      </c>
      <c r="F150" s="11" t="n">
        <v>329.99</v>
      </c>
      <c r="G150" s="9" t="s">
        <v>309</v>
      </c>
      <c r="H150" s="9" t="s">
        <v>474</v>
      </c>
    </row>
    <row r="151" customFormat="false" ht="15" hidden="false" customHeight="false" outlineLevel="0" collapsed="false">
      <c r="A151" s="14" t="s">
        <v>103</v>
      </c>
      <c r="B151" s="14" t="s">
        <v>74</v>
      </c>
      <c r="C151" s="14" t="s">
        <v>306</v>
      </c>
      <c r="D151" s="14" t="s">
        <v>307</v>
      </c>
      <c r="E151" s="14" t="s">
        <v>308</v>
      </c>
      <c r="F151" s="16" t="n">
        <v>338.78</v>
      </c>
      <c r="G151" s="14" t="s">
        <v>309</v>
      </c>
      <c r="H151" s="14" t="s">
        <v>475</v>
      </c>
    </row>
    <row r="152" customFormat="false" ht="15" hidden="false" customHeight="false" outlineLevel="0" collapsed="false">
      <c r="A152" s="9" t="s">
        <v>103</v>
      </c>
      <c r="B152" s="9" t="s">
        <v>74</v>
      </c>
      <c r="C152" s="9" t="s">
        <v>306</v>
      </c>
      <c r="D152" s="9" t="s">
        <v>307</v>
      </c>
      <c r="E152" s="9" t="s">
        <v>308</v>
      </c>
      <c r="F152" s="11" t="n">
        <v>339.99</v>
      </c>
      <c r="G152" s="9" t="s">
        <v>309</v>
      </c>
      <c r="H152" s="9" t="s">
        <v>476</v>
      </c>
    </row>
    <row r="153" customFormat="false" ht="15" hidden="false" customHeight="false" outlineLevel="0" collapsed="false">
      <c r="A153" s="14" t="s">
        <v>103</v>
      </c>
      <c r="B153" s="14" t="s">
        <v>74</v>
      </c>
      <c r="C153" s="14" t="s">
        <v>311</v>
      </c>
      <c r="D153" s="14" t="s">
        <v>41</v>
      </c>
      <c r="E153" s="14" t="s">
        <v>42</v>
      </c>
      <c r="F153" s="16" t="n">
        <v>350</v>
      </c>
      <c r="G153" s="14" t="s">
        <v>309</v>
      </c>
      <c r="H153" s="14" t="s">
        <v>477</v>
      </c>
    </row>
    <row r="154" customFormat="false" ht="15" hidden="false" customHeight="false" outlineLevel="0" collapsed="false">
      <c r="A154" s="9" t="s">
        <v>103</v>
      </c>
      <c r="B154" s="9" t="s">
        <v>74</v>
      </c>
      <c r="C154" s="9" t="s">
        <v>306</v>
      </c>
      <c r="D154" s="9" t="s">
        <v>307</v>
      </c>
      <c r="E154" s="9" t="s">
        <v>308</v>
      </c>
      <c r="F154" s="11" t="n">
        <v>355</v>
      </c>
      <c r="G154" s="9" t="s">
        <v>309</v>
      </c>
      <c r="H154" s="9" t="s">
        <v>478</v>
      </c>
    </row>
    <row r="155" customFormat="false" ht="15" hidden="false" customHeight="false" outlineLevel="0" collapsed="false">
      <c r="A155" s="14" t="s">
        <v>103</v>
      </c>
      <c r="B155" s="14" t="s">
        <v>74</v>
      </c>
      <c r="C155" s="14" t="s">
        <v>355</v>
      </c>
      <c r="D155" s="14" t="s">
        <v>60</v>
      </c>
      <c r="E155" s="14" t="s">
        <v>308</v>
      </c>
      <c r="F155" s="16" t="n">
        <v>367.63</v>
      </c>
      <c r="G155" s="14" t="s">
        <v>309</v>
      </c>
      <c r="H155" s="14" t="s">
        <v>479</v>
      </c>
    </row>
    <row r="156" customFormat="false" ht="15" hidden="false" customHeight="false" outlineLevel="0" collapsed="false">
      <c r="A156" s="9" t="s">
        <v>103</v>
      </c>
      <c r="B156" s="9" t="s">
        <v>74</v>
      </c>
      <c r="C156" s="9" t="s">
        <v>306</v>
      </c>
      <c r="D156" s="9" t="s">
        <v>307</v>
      </c>
      <c r="E156" s="9" t="s">
        <v>308</v>
      </c>
      <c r="F156" s="11" t="n">
        <v>370</v>
      </c>
      <c r="G156" s="9" t="s">
        <v>309</v>
      </c>
      <c r="H156" s="9" t="s">
        <v>480</v>
      </c>
    </row>
    <row r="157" customFormat="false" ht="15" hidden="false" customHeight="false" outlineLevel="0" collapsed="false">
      <c r="A157" s="14" t="s">
        <v>103</v>
      </c>
      <c r="B157" s="14" t="s">
        <v>74</v>
      </c>
      <c r="C157" s="14" t="s">
        <v>355</v>
      </c>
      <c r="D157" s="14" t="s">
        <v>60</v>
      </c>
      <c r="E157" s="14" t="s">
        <v>308</v>
      </c>
      <c r="F157" s="16" t="n">
        <v>371.99</v>
      </c>
      <c r="G157" s="14" t="s">
        <v>309</v>
      </c>
      <c r="H157" s="14" t="s">
        <v>481</v>
      </c>
    </row>
    <row r="158" customFormat="false" ht="15" hidden="false" customHeight="false" outlineLevel="0" collapsed="false">
      <c r="A158" s="9" t="s">
        <v>103</v>
      </c>
      <c r="B158" s="9" t="s">
        <v>74</v>
      </c>
      <c r="C158" s="9" t="s">
        <v>306</v>
      </c>
      <c r="D158" s="9" t="s">
        <v>307</v>
      </c>
      <c r="E158" s="9" t="s">
        <v>335</v>
      </c>
      <c r="F158" s="11" t="n">
        <v>375</v>
      </c>
      <c r="G158" s="9" t="s">
        <v>309</v>
      </c>
      <c r="H158" s="9" t="s">
        <v>482</v>
      </c>
    </row>
    <row r="159" customFormat="false" ht="15" hidden="false" customHeight="false" outlineLevel="0" collapsed="false">
      <c r="A159" s="14" t="s">
        <v>103</v>
      </c>
      <c r="B159" s="14" t="s">
        <v>74</v>
      </c>
      <c r="C159" s="14" t="s">
        <v>355</v>
      </c>
      <c r="D159" s="14" t="s">
        <v>60</v>
      </c>
      <c r="E159" s="14" t="s">
        <v>308</v>
      </c>
      <c r="F159" s="16" t="n">
        <v>375</v>
      </c>
      <c r="G159" s="14" t="s">
        <v>309</v>
      </c>
      <c r="H159" s="14" t="s">
        <v>483</v>
      </c>
    </row>
    <row r="160" customFormat="false" ht="15" hidden="false" customHeight="false" outlineLevel="0" collapsed="false">
      <c r="A160" s="9" t="s">
        <v>103</v>
      </c>
      <c r="B160" s="9" t="s">
        <v>74</v>
      </c>
      <c r="C160" s="9" t="s">
        <v>330</v>
      </c>
      <c r="D160" s="9" t="s">
        <v>48</v>
      </c>
      <c r="E160" s="9" t="s">
        <v>308</v>
      </c>
      <c r="F160" s="11" t="n">
        <v>390</v>
      </c>
      <c r="G160" s="9" t="s">
        <v>309</v>
      </c>
      <c r="H160" s="9" t="s">
        <v>484</v>
      </c>
    </row>
    <row r="161" customFormat="false" ht="15" hidden="false" customHeight="false" outlineLevel="0" collapsed="false">
      <c r="A161" s="14" t="s">
        <v>103</v>
      </c>
      <c r="B161" s="14" t="s">
        <v>74</v>
      </c>
      <c r="C161" s="14" t="s">
        <v>306</v>
      </c>
      <c r="D161" s="14" t="s">
        <v>307</v>
      </c>
      <c r="E161" s="14" t="s">
        <v>308</v>
      </c>
      <c r="F161" s="16" t="n">
        <v>395</v>
      </c>
      <c r="G161" s="14" t="s">
        <v>309</v>
      </c>
      <c r="H161" s="14" t="s">
        <v>485</v>
      </c>
    </row>
    <row r="162" customFormat="false" ht="15" hidden="false" customHeight="false" outlineLevel="0" collapsed="false">
      <c r="A162" s="9" t="s">
        <v>103</v>
      </c>
      <c r="B162" s="9" t="s">
        <v>74</v>
      </c>
      <c r="C162" s="9" t="s">
        <v>369</v>
      </c>
      <c r="D162" s="9" t="s">
        <v>53</v>
      </c>
      <c r="E162" s="9" t="s">
        <v>308</v>
      </c>
      <c r="F162" s="11" t="n">
        <v>403.19</v>
      </c>
      <c r="G162" s="9" t="s">
        <v>309</v>
      </c>
      <c r="H162" s="9" t="s">
        <v>486</v>
      </c>
    </row>
    <row r="163" customFormat="false" ht="15" hidden="false" customHeight="false" outlineLevel="0" collapsed="false">
      <c r="A163" s="14" t="s">
        <v>103</v>
      </c>
      <c r="B163" s="14" t="s">
        <v>74</v>
      </c>
      <c r="C163" s="14" t="s">
        <v>330</v>
      </c>
      <c r="D163" s="14" t="s">
        <v>48</v>
      </c>
      <c r="E163" s="14" t="s">
        <v>308</v>
      </c>
      <c r="F163" s="16" t="n">
        <v>407.99</v>
      </c>
      <c r="G163" s="14" t="s">
        <v>309</v>
      </c>
      <c r="H163" s="14" t="s">
        <v>487</v>
      </c>
    </row>
    <row r="164" customFormat="false" ht="15" hidden="false" customHeight="false" outlineLevel="0" collapsed="false">
      <c r="A164" s="9" t="s">
        <v>103</v>
      </c>
      <c r="B164" s="9" t="s">
        <v>74</v>
      </c>
      <c r="C164" s="9" t="s">
        <v>369</v>
      </c>
      <c r="D164" s="9" t="s">
        <v>53</v>
      </c>
      <c r="E164" s="9" t="s">
        <v>308</v>
      </c>
      <c r="F164" s="11" t="n">
        <v>409.51</v>
      </c>
      <c r="G164" s="9" t="s">
        <v>309</v>
      </c>
      <c r="H164" s="9" t="s">
        <v>488</v>
      </c>
    </row>
    <row r="165" customFormat="false" ht="15" hidden="false" customHeight="false" outlineLevel="0" collapsed="false">
      <c r="A165" s="14" t="s">
        <v>103</v>
      </c>
      <c r="B165" s="14" t="s">
        <v>74</v>
      </c>
      <c r="C165" s="14" t="s">
        <v>306</v>
      </c>
      <c r="D165" s="14" t="s">
        <v>307</v>
      </c>
      <c r="E165" s="14" t="s">
        <v>308</v>
      </c>
      <c r="F165" s="16" t="n">
        <v>425</v>
      </c>
      <c r="G165" s="14" t="s">
        <v>309</v>
      </c>
      <c r="H165" s="14" t="s">
        <v>489</v>
      </c>
    </row>
    <row r="166" customFormat="false" ht="15" hidden="false" customHeight="false" outlineLevel="0" collapsed="false">
      <c r="A166" s="9" t="s">
        <v>103</v>
      </c>
      <c r="B166" s="9" t="s">
        <v>74</v>
      </c>
      <c r="C166" s="9" t="s">
        <v>315</v>
      </c>
      <c r="D166" s="9" t="s">
        <v>41</v>
      </c>
      <c r="E166" s="9" t="s">
        <v>335</v>
      </c>
      <c r="F166" s="11" t="n">
        <v>445</v>
      </c>
      <c r="G166" s="9" t="s">
        <v>309</v>
      </c>
      <c r="H166" s="9" t="s">
        <v>490</v>
      </c>
    </row>
    <row r="167" customFormat="false" ht="15" hidden="false" customHeight="false" outlineLevel="0" collapsed="false">
      <c r="A167" s="14" t="s">
        <v>103</v>
      </c>
      <c r="B167" s="14" t="s">
        <v>74</v>
      </c>
      <c r="C167" s="14" t="s">
        <v>311</v>
      </c>
      <c r="D167" s="14" t="s">
        <v>41</v>
      </c>
      <c r="E167" s="14" t="s">
        <v>308</v>
      </c>
      <c r="F167" s="16" t="n">
        <v>446.25</v>
      </c>
      <c r="G167" s="14" t="s">
        <v>309</v>
      </c>
      <c r="H167" s="14" t="s">
        <v>491</v>
      </c>
    </row>
    <row r="168" customFormat="false" ht="15" hidden="false" customHeight="false" outlineLevel="0" collapsed="false">
      <c r="A168" s="9" t="s">
        <v>103</v>
      </c>
      <c r="B168" s="9" t="s">
        <v>74</v>
      </c>
      <c r="C168" s="9" t="s">
        <v>311</v>
      </c>
      <c r="D168" s="9" t="s">
        <v>41</v>
      </c>
      <c r="E168" s="9" t="s">
        <v>308</v>
      </c>
      <c r="F168" s="11" t="n">
        <v>446.25</v>
      </c>
      <c r="G168" s="9" t="s">
        <v>309</v>
      </c>
      <c r="H168" s="9" t="s">
        <v>492</v>
      </c>
    </row>
    <row r="169" customFormat="false" ht="15" hidden="false" customHeight="false" outlineLevel="0" collapsed="false">
      <c r="A169" s="14" t="s">
        <v>110</v>
      </c>
      <c r="B169" s="14" t="s">
        <v>63</v>
      </c>
      <c r="C169" s="14" t="s">
        <v>369</v>
      </c>
      <c r="D169" s="14" t="s">
        <v>53</v>
      </c>
      <c r="E169" s="14" t="s">
        <v>308</v>
      </c>
      <c r="F169" s="16" t="n">
        <v>650</v>
      </c>
      <c r="G169" s="14" t="s">
        <v>493</v>
      </c>
      <c r="H169" s="14" t="s">
        <v>494</v>
      </c>
    </row>
    <row r="170" customFormat="false" ht="15" hidden="false" customHeight="false" outlineLevel="0" collapsed="false">
      <c r="A170" s="9" t="s">
        <v>110</v>
      </c>
      <c r="B170" s="9" t="s">
        <v>40</v>
      </c>
      <c r="C170" s="9" t="s">
        <v>306</v>
      </c>
      <c r="D170" s="9" t="s">
        <v>307</v>
      </c>
      <c r="E170" s="9" t="s">
        <v>308</v>
      </c>
      <c r="F170" s="11" t="n">
        <v>540</v>
      </c>
      <c r="G170" s="9" t="s">
        <v>309</v>
      </c>
      <c r="H170" s="9" t="s">
        <v>495</v>
      </c>
    </row>
    <row r="171" customFormat="false" ht="15" hidden="false" customHeight="false" outlineLevel="0" collapsed="false">
      <c r="A171" s="14" t="s">
        <v>110</v>
      </c>
      <c r="B171" s="14" t="s">
        <v>40</v>
      </c>
      <c r="C171" s="14" t="s">
        <v>306</v>
      </c>
      <c r="D171" s="14" t="s">
        <v>307</v>
      </c>
      <c r="E171" s="14" t="s">
        <v>308</v>
      </c>
      <c r="F171" s="16" t="n">
        <v>549.99</v>
      </c>
      <c r="G171" s="14" t="s">
        <v>309</v>
      </c>
      <c r="H171" s="14" t="s">
        <v>496</v>
      </c>
    </row>
    <row r="172" customFormat="false" ht="15" hidden="false" customHeight="false" outlineLevel="0" collapsed="false">
      <c r="A172" s="9" t="s">
        <v>110</v>
      </c>
      <c r="B172" s="9" t="s">
        <v>40</v>
      </c>
      <c r="C172" s="9" t="s">
        <v>306</v>
      </c>
      <c r="D172" s="9" t="s">
        <v>307</v>
      </c>
      <c r="E172" s="9" t="s">
        <v>308</v>
      </c>
      <c r="F172" s="11" t="n">
        <v>560</v>
      </c>
      <c r="G172" s="9" t="s">
        <v>309</v>
      </c>
      <c r="H172" s="9" t="s">
        <v>497</v>
      </c>
    </row>
    <row r="173" customFormat="false" ht="15" hidden="false" customHeight="false" outlineLevel="0" collapsed="false">
      <c r="A173" s="14" t="s">
        <v>110</v>
      </c>
      <c r="B173" s="14" t="s">
        <v>40</v>
      </c>
      <c r="C173" s="14" t="s">
        <v>369</v>
      </c>
      <c r="D173" s="14" t="s">
        <v>53</v>
      </c>
      <c r="E173" s="14" t="s">
        <v>308</v>
      </c>
      <c r="F173" s="16" t="n">
        <v>580</v>
      </c>
      <c r="G173" s="14" t="s">
        <v>498</v>
      </c>
      <c r="H173" s="14" t="s">
        <v>499</v>
      </c>
    </row>
    <row r="174" customFormat="false" ht="15" hidden="false" customHeight="false" outlineLevel="0" collapsed="false">
      <c r="A174" s="9" t="s">
        <v>110</v>
      </c>
      <c r="B174" s="9" t="s">
        <v>47</v>
      </c>
      <c r="C174" s="9" t="s">
        <v>306</v>
      </c>
      <c r="D174" s="9" t="s">
        <v>307</v>
      </c>
      <c r="E174" s="9" t="s">
        <v>42</v>
      </c>
      <c r="F174" s="11" t="n">
        <v>350</v>
      </c>
      <c r="G174" s="9" t="s">
        <v>309</v>
      </c>
      <c r="H174" s="9" t="s">
        <v>500</v>
      </c>
    </row>
    <row r="175" customFormat="false" ht="15" hidden="false" customHeight="false" outlineLevel="0" collapsed="false">
      <c r="A175" s="14" t="s">
        <v>110</v>
      </c>
      <c r="B175" s="14" t="s">
        <v>47</v>
      </c>
      <c r="C175" s="14" t="s">
        <v>306</v>
      </c>
      <c r="D175" s="14" t="s">
        <v>307</v>
      </c>
      <c r="E175" s="14" t="s">
        <v>308</v>
      </c>
      <c r="F175" s="16" t="n">
        <v>390</v>
      </c>
      <c r="G175" s="14" t="s">
        <v>309</v>
      </c>
      <c r="H175" s="14" t="s">
        <v>501</v>
      </c>
    </row>
    <row r="176" customFormat="false" ht="15" hidden="false" customHeight="false" outlineLevel="0" collapsed="false">
      <c r="A176" s="9" t="s">
        <v>110</v>
      </c>
      <c r="B176" s="9" t="s">
        <v>47</v>
      </c>
      <c r="C176" s="9" t="s">
        <v>306</v>
      </c>
      <c r="D176" s="9" t="s">
        <v>307</v>
      </c>
      <c r="E176" s="9" t="s">
        <v>308</v>
      </c>
      <c r="F176" s="11" t="n">
        <v>449.99</v>
      </c>
      <c r="G176" s="9" t="s">
        <v>309</v>
      </c>
      <c r="H176" s="9" t="s">
        <v>502</v>
      </c>
    </row>
    <row r="177" customFormat="false" ht="15" hidden="false" customHeight="false" outlineLevel="0" collapsed="false">
      <c r="A177" s="14" t="s">
        <v>110</v>
      </c>
      <c r="B177" s="14" t="s">
        <v>47</v>
      </c>
      <c r="C177" s="14" t="s">
        <v>306</v>
      </c>
      <c r="D177" s="14" t="s">
        <v>307</v>
      </c>
      <c r="E177" s="14" t="s">
        <v>308</v>
      </c>
      <c r="F177" s="16" t="n">
        <v>453.59</v>
      </c>
      <c r="G177" s="14" t="s">
        <v>309</v>
      </c>
      <c r="H177" s="14" t="s">
        <v>503</v>
      </c>
    </row>
    <row r="178" customFormat="false" ht="15" hidden="false" customHeight="false" outlineLevel="0" collapsed="false">
      <c r="A178" s="9" t="s">
        <v>110</v>
      </c>
      <c r="B178" s="9" t="s">
        <v>47</v>
      </c>
      <c r="C178" s="9" t="s">
        <v>311</v>
      </c>
      <c r="D178" s="9" t="s">
        <v>41</v>
      </c>
      <c r="E178" s="9" t="s">
        <v>308</v>
      </c>
      <c r="F178" s="11" t="n">
        <v>550</v>
      </c>
      <c r="G178" s="9" t="s">
        <v>309</v>
      </c>
      <c r="H178" s="9" t="s">
        <v>504</v>
      </c>
    </row>
    <row r="179" customFormat="false" ht="15" hidden="false" customHeight="false" outlineLevel="0" collapsed="false">
      <c r="A179" s="14" t="s">
        <v>110</v>
      </c>
      <c r="B179" s="14" t="s">
        <v>47</v>
      </c>
      <c r="C179" s="14" t="s">
        <v>330</v>
      </c>
      <c r="D179" s="14" t="s">
        <v>48</v>
      </c>
      <c r="E179" s="14" t="s">
        <v>308</v>
      </c>
      <c r="F179" s="16" t="n">
        <v>574.02</v>
      </c>
      <c r="G179" s="14" t="s">
        <v>309</v>
      </c>
      <c r="H179" s="14" t="s">
        <v>505</v>
      </c>
    </row>
    <row r="180" customFormat="false" ht="15" hidden="false" customHeight="false" outlineLevel="0" collapsed="false">
      <c r="A180" s="9" t="s">
        <v>110</v>
      </c>
      <c r="B180" s="9" t="s">
        <v>74</v>
      </c>
      <c r="C180" s="9" t="s">
        <v>306</v>
      </c>
      <c r="D180" s="9" t="s">
        <v>307</v>
      </c>
      <c r="E180" s="9" t="s">
        <v>308</v>
      </c>
      <c r="F180" s="11" t="n">
        <v>300</v>
      </c>
      <c r="G180" s="9" t="s">
        <v>309</v>
      </c>
      <c r="H180" s="9" t="s">
        <v>506</v>
      </c>
    </row>
    <row r="181" customFormat="false" ht="15" hidden="false" customHeight="false" outlineLevel="0" collapsed="false">
      <c r="A181" s="14" t="s">
        <v>110</v>
      </c>
      <c r="B181" s="14" t="s">
        <v>74</v>
      </c>
      <c r="C181" s="14" t="s">
        <v>306</v>
      </c>
      <c r="D181" s="14" t="s">
        <v>307</v>
      </c>
      <c r="E181" s="14" t="s">
        <v>57</v>
      </c>
      <c r="F181" s="16" t="n">
        <v>300</v>
      </c>
      <c r="G181" s="14" t="s">
        <v>309</v>
      </c>
      <c r="H181" s="14" t="s">
        <v>507</v>
      </c>
    </row>
    <row r="182" customFormat="false" ht="15" hidden="false" customHeight="false" outlineLevel="0" collapsed="false">
      <c r="A182" s="9" t="s">
        <v>110</v>
      </c>
      <c r="B182" s="9" t="s">
        <v>74</v>
      </c>
      <c r="C182" s="9" t="s">
        <v>355</v>
      </c>
      <c r="D182" s="9" t="s">
        <v>60</v>
      </c>
      <c r="E182" s="9" t="s">
        <v>335</v>
      </c>
      <c r="F182" s="11" t="n">
        <v>404</v>
      </c>
      <c r="G182" s="9" t="s">
        <v>309</v>
      </c>
      <c r="H182" s="9" t="s">
        <v>508</v>
      </c>
    </row>
    <row r="183" customFormat="false" ht="15" hidden="false" customHeight="false" outlineLevel="0" collapsed="false">
      <c r="A183" s="14" t="s">
        <v>110</v>
      </c>
      <c r="B183" s="14" t="s">
        <v>74</v>
      </c>
      <c r="C183" s="14" t="s">
        <v>306</v>
      </c>
      <c r="D183" s="14" t="s">
        <v>307</v>
      </c>
      <c r="E183" s="14" t="s">
        <v>308</v>
      </c>
      <c r="F183" s="16" t="n">
        <v>449.99</v>
      </c>
      <c r="G183" s="14" t="s">
        <v>309</v>
      </c>
      <c r="H183" s="14" t="s">
        <v>509</v>
      </c>
    </row>
    <row r="184" customFormat="false" ht="15" hidden="false" customHeight="false" outlineLevel="0" collapsed="false">
      <c r="A184" s="9" t="s">
        <v>110</v>
      </c>
      <c r="B184" s="9" t="s">
        <v>74</v>
      </c>
      <c r="C184" s="9" t="s">
        <v>306</v>
      </c>
      <c r="D184" s="9" t="s">
        <v>307</v>
      </c>
      <c r="E184" s="9" t="s">
        <v>335</v>
      </c>
      <c r="F184" s="11" t="n">
        <v>450</v>
      </c>
      <c r="G184" s="9" t="s">
        <v>309</v>
      </c>
      <c r="H184" s="9" t="s">
        <v>510</v>
      </c>
    </row>
    <row r="185" customFormat="false" ht="15" hidden="false" customHeight="false" outlineLevel="0" collapsed="false">
      <c r="A185" s="14" t="s">
        <v>110</v>
      </c>
      <c r="B185" s="14" t="s">
        <v>74</v>
      </c>
      <c r="C185" s="14" t="s">
        <v>306</v>
      </c>
      <c r="D185" s="14" t="s">
        <v>307</v>
      </c>
      <c r="E185" s="14" t="s">
        <v>308</v>
      </c>
      <c r="F185" s="16" t="n">
        <v>462.29</v>
      </c>
      <c r="G185" s="14" t="s">
        <v>309</v>
      </c>
      <c r="H185" s="14" t="s">
        <v>511</v>
      </c>
    </row>
    <row r="186" customFormat="false" ht="15" hidden="false" customHeight="false" outlineLevel="0" collapsed="false">
      <c r="A186" s="9" t="s">
        <v>110</v>
      </c>
      <c r="B186" s="9" t="s">
        <v>74</v>
      </c>
      <c r="C186" s="9" t="s">
        <v>369</v>
      </c>
      <c r="D186" s="9" t="s">
        <v>53</v>
      </c>
      <c r="E186" s="9" t="s">
        <v>308</v>
      </c>
      <c r="F186" s="11" t="n">
        <v>475</v>
      </c>
      <c r="G186" s="9" t="s">
        <v>309</v>
      </c>
      <c r="H186" s="9" t="s">
        <v>512</v>
      </c>
    </row>
    <row r="187" customFormat="false" ht="15" hidden="false" customHeight="false" outlineLevel="0" collapsed="false">
      <c r="A187" s="14" t="s">
        <v>110</v>
      </c>
      <c r="B187" s="14" t="s">
        <v>74</v>
      </c>
      <c r="C187" s="14" t="s">
        <v>330</v>
      </c>
      <c r="D187" s="14" t="s">
        <v>48</v>
      </c>
      <c r="E187" s="14" t="s">
        <v>308</v>
      </c>
      <c r="F187" s="16" t="n">
        <v>558.78</v>
      </c>
      <c r="G187" s="14" t="s">
        <v>309</v>
      </c>
      <c r="H187" s="14" t="s">
        <v>513</v>
      </c>
    </row>
    <row r="188" customFormat="false" ht="15" hidden="false" customHeight="false" outlineLevel="0" collapsed="false">
      <c r="A188" s="9" t="s">
        <v>110</v>
      </c>
      <c r="B188" s="9" t="s">
        <v>74</v>
      </c>
      <c r="C188" s="9" t="s">
        <v>315</v>
      </c>
      <c r="D188" s="9" t="s">
        <v>41</v>
      </c>
      <c r="E188" s="9" t="s">
        <v>308</v>
      </c>
      <c r="F188" s="11" t="n">
        <v>619.95</v>
      </c>
      <c r="G188" s="9" t="s">
        <v>309</v>
      </c>
      <c r="H188" s="9" t="s">
        <v>514</v>
      </c>
    </row>
    <row r="189" customFormat="false" ht="15" hidden="false" customHeight="false" outlineLevel="0" collapsed="false">
      <c r="A189" s="14" t="s">
        <v>110</v>
      </c>
      <c r="B189" s="14" t="s">
        <v>74</v>
      </c>
      <c r="C189" s="14" t="s">
        <v>315</v>
      </c>
      <c r="D189" s="14" t="s">
        <v>41</v>
      </c>
      <c r="E189" s="14" t="s">
        <v>308</v>
      </c>
      <c r="F189" s="16" t="n">
        <v>629.95</v>
      </c>
      <c r="G189" s="14" t="s">
        <v>309</v>
      </c>
      <c r="H189" s="14" t="s">
        <v>515</v>
      </c>
    </row>
    <row r="190" customFormat="false" ht="15" hidden="false" customHeight="false" outlineLevel="0" collapsed="false">
      <c r="A190" s="9" t="s">
        <v>115</v>
      </c>
      <c r="B190" s="9" t="s">
        <v>40</v>
      </c>
      <c r="C190" s="9" t="s">
        <v>306</v>
      </c>
      <c r="D190" s="9" t="s">
        <v>307</v>
      </c>
      <c r="E190" s="9" t="s">
        <v>308</v>
      </c>
      <c r="F190" s="11" t="n">
        <v>480</v>
      </c>
      <c r="G190" s="9" t="s">
        <v>309</v>
      </c>
      <c r="H190" s="9" t="s">
        <v>516</v>
      </c>
    </row>
    <row r="191" customFormat="false" ht="15" hidden="false" customHeight="false" outlineLevel="0" collapsed="false">
      <c r="A191" s="14" t="s">
        <v>115</v>
      </c>
      <c r="B191" s="14" t="s">
        <v>40</v>
      </c>
      <c r="C191" s="14" t="s">
        <v>369</v>
      </c>
      <c r="D191" s="14" t="s">
        <v>53</v>
      </c>
      <c r="E191" s="14" t="s">
        <v>308</v>
      </c>
      <c r="F191" s="16" t="n">
        <v>500</v>
      </c>
      <c r="G191" s="14" t="s">
        <v>517</v>
      </c>
      <c r="H191" s="14" t="s">
        <v>518</v>
      </c>
    </row>
    <row r="192" customFormat="false" ht="15" hidden="false" customHeight="false" outlineLevel="0" collapsed="false">
      <c r="A192" s="9" t="s">
        <v>115</v>
      </c>
      <c r="B192" s="9" t="s">
        <v>40</v>
      </c>
      <c r="C192" s="9" t="s">
        <v>369</v>
      </c>
      <c r="D192" s="9" t="s">
        <v>53</v>
      </c>
      <c r="E192" s="9" t="s">
        <v>308</v>
      </c>
      <c r="F192" s="11" t="n">
        <v>500</v>
      </c>
      <c r="G192" s="9" t="s">
        <v>498</v>
      </c>
      <c r="H192" s="9" t="s">
        <v>519</v>
      </c>
    </row>
    <row r="193" customFormat="false" ht="15" hidden="false" customHeight="false" outlineLevel="0" collapsed="false">
      <c r="A193" s="14" t="s">
        <v>115</v>
      </c>
      <c r="B193" s="14" t="s">
        <v>47</v>
      </c>
      <c r="C193" s="14" t="s">
        <v>306</v>
      </c>
      <c r="D193" s="14" t="s">
        <v>307</v>
      </c>
      <c r="E193" s="14" t="s">
        <v>520</v>
      </c>
      <c r="F193" s="16" t="n">
        <v>400</v>
      </c>
      <c r="G193" s="14" t="s">
        <v>309</v>
      </c>
      <c r="H193" s="14" t="s">
        <v>521</v>
      </c>
    </row>
    <row r="194" customFormat="false" ht="15" hidden="false" customHeight="false" outlineLevel="0" collapsed="false">
      <c r="A194" s="9" t="s">
        <v>115</v>
      </c>
      <c r="B194" s="9" t="s">
        <v>47</v>
      </c>
      <c r="C194" s="9" t="s">
        <v>306</v>
      </c>
      <c r="D194" s="9" t="s">
        <v>307</v>
      </c>
      <c r="E194" s="9" t="s">
        <v>308</v>
      </c>
      <c r="F194" s="11" t="n">
        <v>400</v>
      </c>
      <c r="G194" s="9" t="s">
        <v>309</v>
      </c>
      <c r="H194" s="9" t="s">
        <v>522</v>
      </c>
    </row>
    <row r="195" customFormat="false" ht="15" hidden="false" customHeight="false" outlineLevel="0" collapsed="false">
      <c r="A195" s="14" t="s">
        <v>115</v>
      </c>
      <c r="B195" s="14" t="s">
        <v>47</v>
      </c>
      <c r="C195" s="14" t="s">
        <v>306</v>
      </c>
      <c r="D195" s="14" t="s">
        <v>307</v>
      </c>
      <c r="E195" s="14" t="s">
        <v>308</v>
      </c>
      <c r="F195" s="16" t="n">
        <v>409.99</v>
      </c>
      <c r="G195" s="14" t="s">
        <v>309</v>
      </c>
      <c r="H195" s="14" t="s">
        <v>523</v>
      </c>
    </row>
    <row r="196" customFormat="false" ht="15" hidden="false" customHeight="false" outlineLevel="0" collapsed="false">
      <c r="A196" s="9" t="s">
        <v>115</v>
      </c>
      <c r="B196" s="9" t="s">
        <v>47</v>
      </c>
      <c r="C196" s="9" t="s">
        <v>306</v>
      </c>
      <c r="D196" s="9" t="s">
        <v>307</v>
      </c>
      <c r="E196" s="9" t="s">
        <v>308</v>
      </c>
      <c r="F196" s="11" t="n">
        <v>425</v>
      </c>
      <c r="G196" s="9" t="s">
        <v>309</v>
      </c>
      <c r="H196" s="9" t="s">
        <v>524</v>
      </c>
    </row>
    <row r="197" customFormat="false" ht="15" hidden="false" customHeight="false" outlineLevel="0" collapsed="false">
      <c r="A197" s="14" t="s">
        <v>115</v>
      </c>
      <c r="B197" s="14" t="s">
        <v>47</v>
      </c>
      <c r="C197" s="14" t="s">
        <v>369</v>
      </c>
      <c r="D197" s="14" t="s">
        <v>53</v>
      </c>
      <c r="E197" s="14" t="s">
        <v>308</v>
      </c>
      <c r="F197" s="16" t="n">
        <v>462.95</v>
      </c>
      <c r="G197" s="14" t="s">
        <v>309</v>
      </c>
      <c r="H197" s="14" t="s">
        <v>525</v>
      </c>
    </row>
    <row r="198" customFormat="false" ht="15" hidden="false" customHeight="false" outlineLevel="0" collapsed="false">
      <c r="A198" s="9" t="s">
        <v>115</v>
      </c>
      <c r="B198" s="9" t="s">
        <v>74</v>
      </c>
      <c r="C198" s="9" t="s">
        <v>306</v>
      </c>
      <c r="D198" s="9" t="s">
        <v>307</v>
      </c>
      <c r="E198" s="9" t="s">
        <v>308</v>
      </c>
      <c r="F198" s="11" t="n">
        <v>300</v>
      </c>
      <c r="G198" s="9" t="s">
        <v>309</v>
      </c>
      <c r="H198" s="9" t="s">
        <v>526</v>
      </c>
    </row>
    <row r="199" customFormat="false" ht="15" hidden="false" customHeight="false" outlineLevel="0" collapsed="false">
      <c r="A199" s="14" t="s">
        <v>115</v>
      </c>
      <c r="B199" s="14" t="s">
        <v>74</v>
      </c>
      <c r="C199" s="14" t="s">
        <v>306</v>
      </c>
      <c r="D199" s="14" t="s">
        <v>307</v>
      </c>
      <c r="E199" s="14" t="s">
        <v>308</v>
      </c>
      <c r="F199" s="16" t="n">
        <v>330</v>
      </c>
      <c r="G199" s="14" t="s">
        <v>309</v>
      </c>
      <c r="H199" s="14" t="s">
        <v>527</v>
      </c>
    </row>
    <row r="200" customFormat="false" ht="15" hidden="false" customHeight="false" outlineLevel="0" collapsed="false">
      <c r="A200" s="9" t="s">
        <v>115</v>
      </c>
      <c r="B200" s="9" t="s">
        <v>74</v>
      </c>
      <c r="C200" s="9" t="s">
        <v>306</v>
      </c>
      <c r="D200" s="9" t="s">
        <v>307</v>
      </c>
      <c r="E200" s="9" t="s">
        <v>308</v>
      </c>
      <c r="F200" s="11" t="n">
        <v>360</v>
      </c>
      <c r="G200" s="9" t="s">
        <v>309</v>
      </c>
      <c r="H200" s="9" t="s">
        <v>528</v>
      </c>
    </row>
    <row r="201" customFormat="false" ht="15" hidden="false" customHeight="false" outlineLevel="0" collapsed="false">
      <c r="A201" s="14" t="s">
        <v>115</v>
      </c>
      <c r="B201" s="14" t="s">
        <v>74</v>
      </c>
      <c r="C201" s="14" t="s">
        <v>306</v>
      </c>
      <c r="D201" s="14" t="s">
        <v>307</v>
      </c>
      <c r="E201" s="14" t="s">
        <v>308</v>
      </c>
      <c r="F201" s="16" t="n">
        <v>390</v>
      </c>
      <c r="G201" s="14" t="s">
        <v>309</v>
      </c>
      <c r="H201" s="14" t="s">
        <v>529</v>
      </c>
    </row>
    <row r="202" customFormat="false" ht="15" hidden="false" customHeight="false" outlineLevel="0" collapsed="false">
      <c r="A202" s="9" t="s">
        <v>115</v>
      </c>
      <c r="B202" s="9" t="s">
        <v>74</v>
      </c>
      <c r="C202" s="9" t="s">
        <v>369</v>
      </c>
      <c r="D202" s="9" t="s">
        <v>53</v>
      </c>
      <c r="E202" s="9" t="s">
        <v>308</v>
      </c>
      <c r="F202" s="11" t="n">
        <v>427.5</v>
      </c>
      <c r="G202" s="9" t="s">
        <v>309</v>
      </c>
      <c r="H202" s="9" t="s">
        <v>530</v>
      </c>
    </row>
    <row r="203" customFormat="false" ht="15" hidden="false" customHeight="false" outlineLevel="0" collapsed="false">
      <c r="A203" s="14" t="s">
        <v>115</v>
      </c>
      <c r="B203" s="14" t="s">
        <v>74</v>
      </c>
      <c r="C203" s="14" t="s">
        <v>369</v>
      </c>
      <c r="D203" s="14" t="s">
        <v>53</v>
      </c>
      <c r="E203" s="14" t="s">
        <v>308</v>
      </c>
      <c r="F203" s="16" t="n">
        <v>432.69</v>
      </c>
      <c r="G203" s="14" t="s">
        <v>309</v>
      </c>
      <c r="H203" s="14" t="s">
        <v>531</v>
      </c>
    </row>
    <row r="204" customFormat="false" ht="15" hidden="false" customHeight="false" outlineLevel="0" collapsed="false">
      <c r="A204" s="9" t="s">
        <v>120</v>
      </c>
      <c r="B204" s="9" t="s">
        <v>40</v>
      </c>
      <c r="C204" s="9" t="s">
        <v>369</v>
      </c>
      <c r="D204" s="9" t="s">
        <v>53</v>
      </c>
      <c r="E204" s="9" t="s">
        <v>308</v>
      </c>
      <c r="F204" s="11" t="n">
        <v>400</v>
      </c>
      <c r="G204" s="9" t="s">
        <v>532</v>
      </c>
      <c r="H204" s="9" t="s">
        <v>533</v>
      </c>
    </row>
    <row r="205" customFormat="false" ht="15" hidden="false" customHeight="false" outlineLevel="0" collapsed="false">
      <c r="A205" s="14" t="s">
        <v>120</v>
      </c>
      <c r="B205" s="14" t="s">
        <v>40</v>
      </c>
      <c r="C205" s="14" t="s">
        <v>369</v>
      </c>
      <c r="D205" s="14" t="s">
        <v>53</v>
      </c>
      <c r="E205" s="14" t="s">
        <v>308</v>
      </c>
      <c r="F205" s="16" t="n">
        <v>400</v>
      </c>
      <c r="G205" s="14" t="s">
        <v>534</v>
      </c>
      <c r="H205" s="14" t="s">
        <v>535</v>
      </c>
    </row>
    <row r="206" customFormat="false" ht="15" hidden="false" customHeight="false" outlineLevel="0" collapsed="false">
      <c r="A206" s="9" t="s">
        <v>120</v>
      </c>
      <c r="B206" s="9" t="s">
        <v>40</v>
      </c>
      <c r="C206" s="9" t="s">
        <v>315</v>
      </c>
      <c r="D206" s="9" t="s">
        <v>41</v>
      </c>
      <c r="E206" s="9" t="s">
        <v>308</v>
      </c>
      <c r="F206" s="11" t="n">
        <v>444.99</v>
      </c>
      <c r="G206" s="9" t="s">
        <v>309</v>
      </c>
      <c r="H206" s="9" t="s">
        <v>536</v>
      </c>
    </row>
    <row r="207" customFormat="false" ht="15" hidden="false" customHeight="false" outlineLevel="0" collapsed="false">
      <c r="A207" s="14" t="s">
        <v>120</v>
      </c>
      <c r="B207" s="14" t="s">
        <v>47</v>
      </c>
      <c r="C207" s="14" t="s">
        <v>306</v>
      </c>
      <c r="D207" s="14" t="s">
        <v>307</v>
      </c>
      <c r="E207" s="14" t="s">
        <v>308</v>
      </c>
      <c r="F207" s="16" t="n">
        <v>304.95</v>
      </c>
      <c r="G207" s="14" t="s">
        <v>309</v>
      </c>
      <c r="H207" s="14" t="s">
        <v>537</v>
      </c>
    </row>
    <row r="208" customFormat="false" ht="15" hidden="false" customHeight="false" outlineLevel="0" collapsed="false">
      <c r="A208" s="9" t="s">
        <v>120</v>
      </c>
      <c r="B208" s="9" t="s">
        <v>47</v>
      </c>
      <c r="C208" s="9" t="s">
        <v>369</v>
      </c>
      <c r="D208" s="9" t="s">
        <v>53</v>
      </c>
      <c r="E208" s="9" t="s">
        <v>308</v>
      </c>
      <c r="F208" s="11" t="n">
        <v>342.56</v>
      </c>
      <c r="G208" s="9" t="s">
        <v>309</v>
      </c>
      <c r="H208" s="9" t="s">
        <v>538</v>
      </c>
    </row>
    <row r="209" customFormat="false" ht="15" hidden="false" customHeight="false" outlineLevel="0" collapsed="false">
      <c r="A209" s="14" t="s">
        <v>120</v>
      </c>
      <c r="B209" s="14" t="s">
        <v>47</v>
      </c>
      <c r="C209" s="14" t="s">
        <v>369</v>
      </c>
      <c r="D209" s="14" t="s">
        <v>53</v>
      </c>
      <c r="E209" s="14" t="s">
        <v>308</v>
      </c>
      <c r="F209" s="16" t="n">
        <v>351.99</v>
      </c>
      <c r="G209" s="14" t="s">
        <v>309</v>
      </c>
      <c r="H209" s="14" t="s">
        <v>539</v>
      </c>
    </row>
    <row r="210" customFormat="false" ht="15" hidden="false" customHeight="false" outlineLevel="0" collapsed="false">
      <c r="A210" s="9" t="s">
        <v>120</v>
      </c>
      <c r="B210" s="9" t="s">
        <v>74</v>
      </c>
      <c r="C210" s="9" t="s">
        <v>306</v>
      </c>
      <c r="D210" s="9" t="s">
        <v>307</v>
      </c>
      <c r="E210" s="9" t="s">
        <v>308</v>
      </c>
      <c r="F210" s="11" t="n">
        <v>244.79</v>
      </c>
      <c r="G210" s="9" t="s">
        <v>309</v>
      </c>
      <c r="H210" s="9" t="s">
        <v>540</v>
      </c>
    </row>
    <row r="211" customFormat="false" ht="15" hidden="false" customHeight="false" outlineLevel="0" collapsed="false">
      <c r="A211" s="14" t="s">
        <v>120</v>
      </c>
      <c r="B211" s="14" t="s">
        <v>74</v>
      </c>
      <c r="C211" s="14" t="s">
        <v>306</v>
      </c>
      <c r="D211" s="14" t="s">
        <v>307</v>
      </c>
      <c r="E211" s="14" t="s">
        <v>308</v>
      </c>
      <c r="F211" s="16" t="n">
        <v>245.5</v>
      </c>
      <c r="G211" s="14" t="s">
        <v>309</v>
      </c>
      <c r="H211" s="14" t="s">
        <v>541</v>
      </c>
    </row>
    <row r="212" customFormat="false" ht="15" hidden="false" customHeight="false" outlineLevel="0" collapsed="false">
      <c r="A212" s="9" t="s">
        <v>120</v>
      </c>
      <c r="B212" s="9" t="s">
        <v>74</v>
      </c>
      <c r="C212" s="9" t="s">
        <v>306</v>
      </c>
      <c r="D212" s="9" t="s">
        <v>307</v>
      </c>
      <c r="E212" s="9" t="s">
        <v>308</v>
      </c>
      <c r="F212" s="11" t="n">
        <v>255</v>
      </c>
      <c r="G212" s="9" t="s">
        <v>309</v>
      </c>
      <c r="H212" s="9" t="s">
        <v>542</v>
      </c>
    </row>
    <row r="213" customFormat="false" ht="15" hidden="false" customHeight="false" outlineLevel="0" collapsed="false">
      <c r="A213" s="14" t="s">
        <v>120</v>
      </c>
      <c r="B213" s="14" t="s">
        <v>74</v>
      </c>
      <c r="C213" s="14" t="s">
        <v>306</v>
      </c>
      <c r="D213" s="14" t="s">
        <v>307</v>
      </c>
      <c r="E213" s="14" t="s">
        <v>308</v>
      </c>
      <c r="F213" s="16" t="n">
        <v>275</v>
      </c>
      <c r="G213" s="14" t="s">
        <v>309</v>
      </c>
      <c r="H213" s="14" t="s">
        <v>543</v>
      </c>
    </row>
    <row r="214" customFormat="false" ht="15" hidden="false" customHeight="false" outlineLevel="0" collapsed="false">
      <c r="A214" s="9" t="s">
        <v>120</v>
      </c>
      <c r="B214" s="9" t="s">
        <v>74</v>
      </c>
      <c r="C214" s="9" t="s">
        <v>306</v>
      </c>
      <c r="D214" s="9" t="s">
        <v>307</v>
      </c>
      <c r="E214" s="9" t="s">
        <v>308</v>
      </c>
      <c r="F214" s="11" t="n">
        <v>300</v>
      </c>
      <c r="G214" s="9" t="s">
        <v>309</v>
      </c>
      <c r="H214" s="9" t="s">
        <v>544</v>
      </c>
    </row>
    <row r="215" customFormat="false" ht="15" hidden="false" customHeight="false" outlineLevel="0" collapsed="false">
      <c r="A215" s="14" t="s">
        <v>120</v>
      </c>
      <c r="B215" s="14" t="s">
        <v>74</v>
      </c>
      <c r="C215" s="14" t="s">
        <v>306</v>
      </c>
      <c r="D215" s="14" t="s">
        <v>307</v>
      </c>
      <c r="E215" s="14" t="s">
        <v>308</v>
      </c>
      <c r="F215" s="16" t="n">
        <v>304.99</v>
      </c>
      <c r="G215" s="14" t="s">
        <v>309</v>
      </c>
      <c r="H215" s="14" t="s">
        <v>545</v>
      </c>
    </row>
    <row r="216" customFormat="false" ht="15" hidden="false" customHeight="false" outlineLevel="0" collapsed="false">
      <c r="A216" s="9" t="s">
        <v>120</v>
      </c>
      <c r="B216" s="9" t="s">
        <v>74</v>
      </c>
      <c r="C216" s="9" t="s">
        <v>369</v>
      </c>
      <c r="D216" s="9" t="s">
        <v>53</v>
      </c>
      <c r="E216" s="9" t="s">
        <v>308</v>
      </c>
      <c r="F216" s="11" t="n">
        <v>304.99</v>
      </c>
      <c r="G216" s="9" t="s">
        <v>309</v>
      </c>
      <c r="H216" s="9" t="s">
        <v>546</v>
      </c>
    </row>
    <row r="217" customFormat="false" ht="15" hidden="false" customHeight="false" outlineLevel="0" collapsed="false">
      <c r="A217" s="14" t="s">
        <v>120</v>
      </c>
      <c r="B217" s="14" t="s">
        <v>74</v>
      </c>
      <c r="C217" s="14" t="s">
        <v>306</v>
      </c>
      <c r="D217" s="14" t="s">
        <v>307</v>
      </c>
      <c r="E217" s="14" t="s">
        <v>308</v>
      </c>
      <c r="F217" s="16" t="n">
        <v>306</v>
      </c>
      <c r="G217" s="14" t="s">
        <v>309</v>
      </c>
      <c r="H217" s="14" t="s">
        <v>547</v>
      </c>
    </row>
    <row r="218" customFormat="false" ht="15" hidden="false" customHeight="false" outlineLevel="0" collapsed="false">
      <c r="A218" s="9" t="s">
        <v>120</v>
      </c>
      <c r="B218" s="9" t="s">
        <v>74</v>
      </c>
      <c r="C218" s="9" t="s">
        <v>369</v>
      </c>
      <c r="D218" s="9" t="s">
        <v>53</v>
      </c>
      <c r="E218" s="9" t="s">
        <v>357</v>
      </c>
      <c r="F218" s="11" t="n">
        <v>312.99</v>
      </c>
      <c r="G218" s="9" t="s">
        <v>548</v>
      </c>
      <c r="H218" s="9" t="s">
        <v>549</v>
      </c>
    </row>
    <row r="219" customFormat="false" ht="15" hidden="false" customHeight="false" outlineLevel="0" collapsed="false">
      <c r="A219" s="14" t="s">
        <v>120</v>
      </c>
      <c r="B219" s="14" t="s">
        <v>74</v>
      </c>
      <c r="C219" s="14" t="s">
        <v>369</v>
      </c>
      <c r="D219" s="14" t="s">
        <v>53</v>
      </c>
      <c r="E219" s="14" t="s">
        <v>308</v>
      </c>
      <c r="F219" s="16" t="n">
        <v>317.78</v>
      </c>
      <c r="G219" s="14" t="s">
        <v>309</v>
      </c>
      <c r="H219" s="14" t="s">
        <v>550</v>
      </c>
    </row>
    <row r="220" customFormat="false" ht="15" hidden="false" customHeight="false" outlineLevel="0" collapsed="false">
      <c r="A220" s="9" t="s">
        <v>120</v>
      </c>
      <c r="B220" s="9" t="s">
        <v>74</v>
      </c>
      <c r="C220" s="9" t="s">
        <v>330</v>
      </c>
      <c r="D220" s="9" t="s">
        <v>48</v>
      </c>
      <c r="E220" s="9" t="s">
        <v>308</v>
      </c>
      <c r="F220" s="11" t="n">
        <v>321.59</v>
      </c>
      <c r="G220" s="9" t="s">
        <v>309</v>
      </c>
      <c r="H220" s="9" t="s">
        <v>551</v>
      </c>
    </row>
    <row r="221" customFormat="false" ht="15" hidden="false" customHeight="false" outlineLevel="0" collapsed="false">
      <c r="A221" s="14" t="s">
        <v>120</v>
      </c>
      <c r="B221" s="14" t="s">
        <v>74</v>
      </c>
      <c r="C221" s="14" t="s">
        <v>369</v>
      </c>
      <c r="D221" s="14" t="s">
        <v>53</v>
      </c>
      <c r="E221" s="14" t="s">
        <v>308</v>
      </c>
      <c r="F221" s="16" t="n">
        <v>331.95</v>
      </c>
      <c r="G221" s="14" t="s">
        <v>309</v>
      </c>
      <c r="H221" s="14" t="s">
        <v>552</v>
      </c>
    </row>
    <row r="222" customFormat="false" ht="15" hidden="false" customHeight="false" outlineLevel="0" collapsed="false">
      <c r="A222" s="9" t="s">
        <v>120</v>
      </c>
      <c r="B222" s="9" t="s">
        <v>74</v>
      </c>
      <c r="C222" s="9" t="s">
        <v>315</v>
      </c>
      <c r="D222" s="9" t="s">
        <v>41</v>
      </c>
      <c r="E222" s="9" t="s">
        <v>308</v>
      </c>
      <c r="F222" s="11" t="n">
        <v>399.99</v>
      </c>
      <c r="G222" s="9" t="s">
        <v>309</v>
      </c>
      <c r="H222" s="9" t="s">
        <v>553</v>
      </c>
    </row>
    <row r="223" customFormat="false" ht="15" hidden="false" customHeight="false" outlineLevel="0" collapsed="false">
      <c r="A223" s="14" t="s">
        <v>126</v>
      </c>
      <c r="B223" s="14" t="s">
        <v>47</v>
      </c>
      <c r="C223" s="14" t="s">
        <v>306</v>
      </c>
      <c r="D223" s="14" t="s">
        <v>307</v>
      </c>
      <c r="E223" s="14" t="s">
        <v>308</v>
      </c>
      <c r="F223" s="16" t="n">
        <v>235</v>
      </c>
      <c r="G223" s="14" t="s">
        <v>309</v>
      </c>
      <c r="H223" s="14" t="s">
        <v>554</v>
      </c>
    </row>
    <row r="224" customFormat="false" ht="15" hidden="false" customHeight="false" outlineLevel="0" collapsed="false">
      <c r="A224" s="9" t="s">
        <v>126</v>
      </c>
      <c r="B224" s="9" t="s">
        <v>47</v>
      </c>
      <c r="C224" s="9" t="s">
        <v>311</v>
      </c>
      <c r="D224" s="9" t="s">
        <v>41</v>
      </c>
      <c r="E224" s="9" t="s">
        <v>308</v>
      </c>
      <c r="F224" s="11" t="n">
        <v>298</v>
      </c>
      <c r="G224" s="9" t="s">
        <v>309</v>
      </c>
      <c r="H224" s="9" t="s">
        <v>555</v>
      </c>
    </row>
    <row r="225" customFormat="false" ht="15" hidden="false" customHeight="false" outlineLevel="0" collapsed="false">
      <c r="A225" s="14" t="s">
        <v>126</v>
      </c>
      <c r="B225" s="14" t="s">
        <v>47</v>
      </c>
      <c r="C225" s="14" t="s">
        <v>306</v>
      </c>
      <c r="D225" s="14" t="s">
        <v>307</v>
      </c>
      <c r="E225" s="14" t="s">
        <v>308</v>
      </c>
      <c r="F225" s="16" t="n">
        <v>299.99</v>
      </c>
      <c r="G225" s="14" t="s">
        <v>309</v>
      </c>
      <c r="H225" s="14" t="s">
        <v>556</v>
      </c>
    </row>
    <row r="226" customFormat="false" ht="15" hidden="false" customHeight="false" outlineLevel="0" collapsed="false">
      <c r="A226" s="9" t="s">
        <v>126</v>
      </c>
      <c r="B226" s="9" t="s">
        <v>47</v>
      </c>
      <c r="C226" s="9" t="s">
        <v>306</v>
      </c>
      <c r="D226" s="9" t="s">
        <v>307</v>
      </c>
      <c r="E226" s="9" t="s">
        <v>308</v>
      </c>
      <c r="F226" s="11" t="n">
        <v>300</v>
      </c>
      <c r="G226" s="9" t="s">
        <v>309</v>
      </c>
      <c r="H226" s="9" t="s">
        <v>557</v>
      </c>
    </row>
    <row r="227" customFormat="false" ht="15" hidden="false" customHeight="false" outlineLevel="0" collapsed="false">
      <c r="A227" s="14" t="s">
        <v>126</v>
      </c>
      <c r="B227" s="14" t="s">
        <v>47</v>
      </c>
      <c r="C227" s="14" t="s">
        <v>311</v>
      </c>
      <c r="D227" s="14" t="s">
        <v>41</v>
      </c>
      <c r="E227" s="14" t="s">
        <v>308</v>
      </c>
      <c r="F227" s="16" t="n">
        <v>359.95</v>
      </c>
      <c r="G227" s="14" t="s">
        <v>309</v>
      </c>
      <c r="H227" s="14" t="s">
        <v>558</v>
      </c>
    </row>
    <row r="228" customFormat="false" ht="15" hidden="false" customHeight="false" outlineLevel="0" collapsed="false">
      <c r="A228" s="9" t="s">
        <v>126</v>
      </c>
      <c r="B228" s="9" t="s">
        <v>47</v>
      </c>
      <c r="C228" s="9" t="s">
        <v>311</v>
      </c>
      <c r="D228" s="9" t="s">
        <v>41</v>
      </c>
      <c r="E228" s="9" t="s">
        <v>308</v>
      </c>
      <c r="F228" s="11" t="n">
        <v>369.95</v>
      </c>
      <c r="G228" s="9" t="s">
        <v>309</v>
      </c>
      <c r="H228" s="9" t="s">
        <v>559</v>
      </c>
    </row>
    <row r="229" customFormat="false" ht="15" hidden="false" customHeight="false" outlineLevel="0" collapsed="false">
      <c r="A229" s="14" t="s">
        <v>126</v>
      </c>
      <c r="B229" s="14" t="s">
        <v>74</v>
      </c>
      <c r="C229" s="14" t="s">
        <v>306</v>
      </c>
      <c r="D229" s="14" t="s">
        <v>307</v>
      </c>
      <c r="E229" s="14" t="s">
        <v>42</v>
      </c>
      <c r="F229" s="16" t="n">
        <v>117.5</v>
      </c>
      <c r="G229" s="14" t="s">
        <v>309</v>
      </c>
      <c r="H229" s="14" t="s">
        <v>560</v>
      </c>
    </row>
    <row r="230" customFormat="false" ht="15" hidden="false" customHeight="false" outlineLevel="0" collapsed="false">
      <c r="A230" s="9" t="s">
        <v>126</v>
      </c>
      <c r="B230" s="9" t="s">
        <v>74</v>
      </c>
      <c r="C230" s="9" t="s">
        <v>311</v>
      </c>
      <c r="D230" s="9" t="s">
        <v>41</v>
      </c>
      <c r="E230" s="9" t="s">
        <v>308</v>
      </c>
      <c r="F230" s="11" t="n">
        <v>180</v>
      </c>
      <c r="G230" s="9" t="s">
        <v>309</v>
      </c>
      <c r="H230" s="9" t="s">
        <v>561</v>
      </c>
    </row>
    <row r="231" customFormat="false" ht="15" hidden="false" customHeight="false" outlineLevel="0" collapsed="false">
      <c r="A231" s="14" t="s">
        <v>126</v>
      </c>
      <c r="B231" s="14" t="s">
        <v>74</v>
      </c>
      <c r="C231" s="14" t="s">
        <v>306</v>
      </c>
      <c r="D231" s="14" t="s">
        <v>307</v>
      </c>
      <c r="E231" s="14" t="s">
        <v>57</v>
      </c>
      <c r="F231" s="16" t="n">
        <v>189.99</v>
      </c>
      <c r="G231" s="14" t="s">
        <v>309</v>
      </c>
      <c r="H231" s="14" t="s">
        <v>562</v>
      </c>
    </row>
    <row r="232" customFormat="false" ht="15" hidden="false" customHeight="false" outlineLevel="0" collapsed="false">
      <c r="A232" s="9" t="s">
        <v>126</v>
      </c>
      <c r="B232" s="9" t="s">
        <v>74</v>
      </c>
      <c r="C232" s="9" t="s">
        <v>306</v>
      </c>
      <c r="D232" s="9" t="s">
        <v>307</v>
      </c>
      <c r="E232" s="9" t="s">
        <v>57</v>
      </c>
      <c r="F232" s="11" t="n">
        <v>189.99</v>
      </c>
      <c r="G232" s="9" t="s">
        <v>309</v>
      </c>
      <c r="H232" s="9" t="s">
        <v>563</v>
      </c>
    </row>
    <row r="233" customFormat="false" ht="15" hidden="false" customHeight="false" outlineLevel="0" collapsed="false">
      <c r="A233" s="14" t="s">
        <v>126</v>
      </c>
      <c r="B233" s="14" t="s">
        <v>74</v>
      </c>
      <c r="C233" s="14" t="s">
        <v>306</v>
      </c>
      <c r="D233" s="14" t="s">
        <v>307</v>
      </c>
      <c r="E233" s="14" t="s">
        <v>308</v>
      </c>
      <c r="F233" s="16" t="n">
        <v>192.5</v>
      </c>
      <c r="G233" s="14" t="s">
        <v>309</v>
      </c>
      <c r="H233" s="14" t="s">
        <v>564</v>
      </c>
    </row>
    <row r="234" customFormat="false" ht="15" hidden="false" customHeight="false" outlineLevel="0" collapsed="false">
      <c r="A234" s="9" t="s">
        <v>126</v>
      </c>
      <c r="B234" s="9" t="s">
        <v>74</v>
      </c>
      <c r="C234" s="9" t="s">
        <v>306</v>
      </c>
      <c r="D234" s="9" t="s">
        <v>307</v>
      </c>
      <c r="E234" s="9" t="s">
        <v>308</v>
      </c>
      <c r="F234" s="11" t="n">
        <v>212.5</v>
      </c>
      <c r="G234" s="9" t="s">
        <v>309</v>
      </c>
      <c r="H234" s="9" t="s">
        <v>565</v>
      </c>
    </row>
    <row r="235" customFormat="false" ht="15" hidden="false" customHeight="false" outlineLevel="0" collapsed="false">
      <c r="A235" s="14" t="s">
        <v>126</v>
      </c>
      <c r="B235" s="14" t="s">
        <v>74</v>
      </c>
      <c r="C235" s="14" t="s">
        <v>306</v>
      </c>
      <c r="D235" s="14" t="s">
        <v>307</v>
      </c>
      <c r="E235" s="14" t="s">
        <v>308</v>
      </c>
      <c r="F235" s="16" t="n">
        <v>235</v>
      </c>
      <c r="G235" s="14" t="s">
        <v>309</v>
      </c>
      <c r="H235" s="14" t="s">
        <v>566</v>
      </c>
    </row>
    <row r="236" customFormat="false" ht="15" hidden="false" customHeight="false" outlineLevel="0" collapsed="false">
      <c r="A236" s="9" t="s">
        <v>126</v>
      </c>
      <c r="B236" s="9" t="s">
        <v>74</v>
      </c>
      <c r="C236" s="9" t="s">
        <v>306</v>
      </c>
      <c r="D236" s="9" t="s">
        <v>307</v>
      </c>
      <c r="E236" s="9" t="s">
        <v>308</v>
      </c>
      <c r="F236" s="11" t="n">
        <v>235</v>
      </c>
      <c r="G236" s="9" t="s">
        <v>309</v>
      </c>
      <c r="H236" s="9" t="s">
        <v>567</v>
      </c>
    </row>
    <row r="237" customFormat="false" ht="15" hidden="false" customHeight="false" outlineLevel="0" collapsed="false">
      <c r="A237" s="14" t="s">
        <v>126</v>
      </c>
      <c r="B237" s="14" t="s">
        <v>74</v>
      </c>
      <c r="C237" s="14" t="s">
        <v>306</v>
      </c>
      <c r="D237" s="14" t="s">
        <v>307</v>
      </c>
      <c r="E237" s="14" t="s">
        <v>308</v>
      </c>
      <c r="F237" s="16" t="n">
        <v>237.5</v>
      </c>
      <c r="G237" s="14" t="s">
        <v>309</v>
      </c>
      <c r="H237" s="14" t="s">
        <v>564</v>
      </c>
    </row>
    <row r="238" customFormat="false" ht="15" hidden="false" customHeight="false" outlineLevel="0" collapsed="false">
      <c r="A238" s="9" t="s">
        <v>126</v>
      </c>
      <c r="B238" s="9" t="s">
        <v>74</v>
      </c>
      <c r="C238" s="9" t="s">
        <v>306</v>
      </c>
      <c r="D238" s="9" t="s">
        <v>307</v>
      </c>
      <c r="E238" s="9" t="s">
        <v>308</v>
      </c>
      <c r="F238" s="11" t="n">
        <v>240.5</v>
      </c>
      <c r="G238" s="9" t="s">
        <v>309</v>
      </c>
      <c r="H238" s="9" t="s">
        <v>568</v>
      </c>
    </row>
    <row r="239" customFormat="false" ht="15" hidden="false" customHeight="false" outlineLevel="0" collapsed="false">
      <c r="A239" s="14" t="s">
        <v>126</v>
      </c>
      <c r="B239" s="14" t="s">
        <v>74</v>
      </c>
      <c r="C239" s="14" t="s">
        <v>306</v>
      </c>
      <c r="D239" s="14" t="s">
        <v>307</v>
      </c>
      <c r="E239" s="14" t="s">
        <v>308</v>
      </c>
      <c r="F239" s="16" t="n">
        <v>242.5</v>
      </c>
      <c r="G239" s="14" t="s">
        <v>309</v>
      </c>
      <c r="H239" s="14" t="s">
        <v>568</v>
      </c>
    </row>
    <row r="240" customFormat="false" ht="15" hidden="false" customHeight="false" outlineLevel="0" collapsed="false">
      <c r="A240" s="9" t="s">
        <v>126</v>
      </c>
      <c r="B240" s="9" t="s">
        <v>74</v>
      </c>
      <c r="C240" s="9" t="s">
        <v>355</v>
      </c>
      <c r="D240" s="9" t="s">
        <v>60</v>
      </c>
      <c r="E240" s="9" t="s">
        <v>308</v>
      </c>
      <c r="F240" s="11" t="n">
        <v>249.95</v>
      </c>
      <c r="G240" s="9" t="s">
        <v>309</v>
      </c>
      <c r="H240" s="9" t="s">
        <v>569</v>
      </c>
    </row>
    <row r="241" customFormat="false" ht="15" hidden="false" customHeight="false" outlineLevel="0" collapsed="false">
      <c r="A241" s="14" t="s">
        <v>126</v>
      </c>
      <c r="B241" s="14" t="s">
        <v>74</v>
      </c>
      <c r="C241" s="14" t="s">
        <v>306</v>
      </c>
      <c r="D241" s="14" t="s">
        <v>307</v>
      </c>
      <c r="E241" s="14" t="s">
        <v>308</v>
      </c>
      <c r="F241" s="16" t="n">
        <v>249.99</v>
      </c>
      <c r="G241" s="14" t="s">
        <v>309</v>
      </c>
      <c r="H241" s="14" t="s">
        <v>570</v>
      </c>
    </row>
    <row r="242" customFormat="false" ht="15" hidden="false" customHeight="false" outlineLevel="0" collapsed="false">
      <c r="A242" s="9" t="s">
        <v>126</v>
      </c>
      <c r="B242" s="9" t="s">
        <v>74</v>
      </c>
      <c r="C242" s="9" t="s">
        <v>306</v>
      </c>
      <c r="D242" s="9" t="s">
        <v>307</v>
      </c>
      <c r="E242" s="9" t="s">
        <v>308</v>
      </c>
      <c r="F242" s="11" t="n">
        <v>249.99</v>
      </c>
      <c r="G242" s="9" t="s">
        <v>309</v>
      </c>
      <c r="H242" s="9" t="s">
        <v>571</v>
      </c>
    </row>
    <row r="243" customFormat="false" ht="15" hidden="false" customHeight="false" outlineLevel="0" collapsed="false">
      <c r="A243" s="14" t="s">
        <v>126</v>
      </c>
      <c r="B243" s="14" t="s">
        <v>74</v>
      </c>
      <c r="C243" s="14" t="s">
        <v>306</v>
      </c>
      <c r="D243" s="14" t="s">
        <v>307</v>
      </c>
      <c r="E243" s="14" t="s">
        <v>308</v>
      </c>
      <c r="F243" s="16" t="n">
        <v>249.99</v>
      </c>
      <c r="G243" s="14" t="s">
        <v>309</v>
      </c>
      <c r="H243" s="14" t="s">
        <v>572</v>
      </c>
    </row>
    <row r="244" customFormat="false" ht="15" hidden="false" customHeight="false" outlineLevel="0" collapsed="false">
      <c r="A244" s="9" t="s">
        <v>126</v>
      </c>
      <c r="B244" s="9" t="s">
        <v>74</v>
      </c>
      <c r="C244" s="9" t="s">
        <v>355</v>
      </c>
      <c r="D244" s="9" t="s">
        <v>60</v>
      </c>
      <c r="E244" s="9" t="s">
        <v>308</v>
      </c>
      <c r="F244" s="11" t="n">
        <v>259.95</v>
      </c>
      <c r="G244" s="9" t="s">
        <v>309</v>
      </c>
      <c r="H244" s="9" t="s">
        <v>573</v>
      </c>
    </row>
    <row r="245" customFormat="false" ht="15" hidden="false" customHeight="false" outlineLevel="0" collapsed="false">
      <c r="A245" s="14" t="s">
        <v>126</v>
      </c>
      <c r="B245" s="14" t="s">
        <v>74</v>
      </c>
      <c r="C245" s="14" t="s">
        <v>306</v>
      </c>
      <c r="D245" s="14" t="s">
        <v>307</v>
      </c>
      <c r="E245" s="14" t="s">
        <v>308</v>
      </c>
      <c r="F245" s="16" t="n">
        <v>260</v>
      </c>
      <c r="G245" s="14" t="s">
        <v>309</v>
      </c>
      <c r="H245" s="14" t="s">
        <v>574</v>
      </c>
    </row>
    <row r="246" customFormat="false" ht="15" hidden="false" customHeight="false" outlineLevel="0" collapsed="false">
      <c r="A246" s="9" t="s">
        <v>126</v>
      </c>
      <c r="B246" s="9" t="s">
        <v>74</v>
      </c>
      <c r="C246" s="9" t="s">
        <v>355</v>
      </c>
      <c r="D246" s="9" t="s">
        <v>60</v>
      </c>
      <c r="E246" s="9" t="s">
        <v>308</v>
      </c>
      <c r="F246" s="11" t="n">
        <v>266.99</v>
      </c>
      <c r="G246" s="9" t="s">
        <v>309</v>
      </c>
      <c r="H246" s="9" t="s">
        <v>575</v>
      </c>
    </row>
    <row r="247" customFormat="false" ht="15" hidden="false" customHeight="false" outlineLevel="0" collapsed="false">
      <c r="A247" s="14" t="s">
        <v>126</v>
      </c>
      <c r="B247" s="14" t="s">
        <v>74</v>
      </c>
      <c r="C247" s="14" t="s">
        <v>306</v>
      </c>
      <c r="D247" s="14" t="s">
        <v>307</v>
      </c>
      <c r="E247" s="14" t="s">
        <v>308</v>
      </c>
      <c r="F247" s="16" t="n">
        <v>267.46</v>
      </c>
      <c r="G247" s="14" t="s">
        <v>309</v>
      </c>
      <c r="H247" s="14" t="s">
        <v>576</v>
      </c>
    </row>
    <row r="248" customFormat="false" ht="15" hidden="false" customHeight="false" outlineLevel="0" collapsed="false">
      <c r="A248" s="9" t="s">
        <v>126</v>
      </c>
      <c r="B248" s="9" t="s">
        <v>74</v>
      </c>
      <c r="C248" s="9" t="s">
        <v>311</v>
      </c>
      <c r="D248" s="9" t="s">
        <v>41</v>
      </c>
      <c r="E248" s="9" t="s">
        <v>308</v>
      </c>
      <c r="F248" s="11" t="n">
        <v>269</v>
      </c>
      <c r="G248" s="9" t="s">
        <v>309</v>
      </c>
      <c r="H248" s="9" t="s">
        <v>577</v>
      </c>
    </row>
    <row r="249" customFormat="false" ht="15" hidden="false" customHeight="false" outlineLevel="0" collapsed="false">
      <c r="A249" s="14" t="s">
        <v>126</v>
      </c>
      <c r="B249" s="14" t="s">
        <v>74</v>
      </c>
      <c r="C249" s="14" t="s">
        <v>330</v>
      </c>
      <c r="D249" s="14" t="s">
        <v>48</v>
      </c>
      <c r="E249" s="14" t="s">
        <v>308</v>
      </c>
      <c r="F249" s="16" t="n">
        <v>269</v>
      </c>
      <c r="G249" s="14" t="s">
        <v>309</v>
      </c>
      <c r="H249" s="14" t="s">
        <v>578</v>
      </c>
    </row>
    <row r="250" customFormat="false" ht="15" hidden="false" customHeight="false" outlineLevel="0" collapsed="false">
      <c r="A250" s="9" t="s">
        <v>126</v>
      </c>
      <c r="B250" s="9" t="s">
        <v>74</v>
      </c>
      <c r="C250" s="9" t="s">
        <v>369</v>
      </c>
      <c r="D250" s="9" t="s">
        <v>53</v>
      </c>
      <c r="E250" s="9" t="s">
        <v>579</v>
      </c>
      <c r="F250" s="11" t="n">
        <v>275.99</v>
      </c>
      <c r="G250" s="9" t="s">
        <v>580</v>
      </c>
      <c r="H250" s="9" t="s">
        <v>581</v>
      </c>
    </row>
    <row r="251" customFormat="false" ht="15" hidden="false" customHeight="false" outlineLevel="0" collapsed="false">
      <c r="A251" s="14" t="s">
        <v>126</v>
      </c>
      <c r="B251" s="14" t="s">
        <v>74</v>
      </c>
      <c r="C251" s="14" t="s">
        <v>369</v>
      </c>
      <c r="D251" s="14" t="s">
        <v>53</v>
      </c>
      <c r="E251" s="14" t="s">
        <v>579</v>
      </c>
      <c r="F251" s="16" t="n">
        <v>275.99</v>
      </c>
      <c r="G251" s="14" t="s">
        <v>582</v>
      </c>
      <c r="H251" s="14" t="s">
        <v>583</v>
      </c>
    </row>
    <row r="252" customFormat="false" ht="15" hidden="false" customHeight="false" outlineLevel="0" collapsed="false">
      <c r="A252" s="9" t="s">
        <v>126</v>
      </c>
      <c r="B252" s="9" t="s">
        <v>74</v>
      </c>
      <c r="C252" s="9" t="s">
        <v>369</v>
      </c>
      <c r="D252" s="9" t="s">
        <v>53</v>
      </c>
      <c r="E252" s="9" t="s">
        <v>308</v>
      </c>
      <c r="F252" s="11" t="n">
        <v>285</v>
      </c>
      <c r="G252" s="9" t="s">
        <v>309</v>
      </c>
      <c r="H252" s="9" t="s">
        <v>584</v>
      </c>
    </row>
    <row r="253" customFormat="false" ht="15" hidden="false" customHeight="false" outlineLevel="0" collapsed="false">
      <c r="A253" s="14" t="s">
        <v>126</v>
      </c>
      <c r="B253" s="14" t="s">
        <v>74</v>
      </c>
      <c r="C253" s="14" t="s">
        <v>330</v>
      </c>
      <c r="D253" s="14" t="s">
        <v>48</v>
      </c>
      <c r="E253" s="14" t="s">
        <v>308</v>
      </c>
      <c r="F253" s="16" t="n">
        <v>294.99</v>
      </c>
      <c r="G253" s="14" t="s">
        <v>309</v>
      </c>
      <c r="H253" s="14" t="s">
        <v>585</v>
      </c>
    </row>
    <row r="254" customFormat="false" ht="15" hidden="false" customHeight="false" outlineLevel="0" collapsed="false">
      <c r="A254" s="9" t="s">
        <v>126</v>
      </c>
      <c r="B254" s="9" t="s">
        <v>74</v>
      </c>
      <c r="C254" s="9" t="s">
        <v>369</v>
      </c>
      <c r="D254" s="9" t="s">
        <v>53</v>
      </c>
      <c r="E254" s="9" t="s">
        <v>308</v>
      </c>
      <c r="F254" s="11" t="n">
        <v>296.99</v>
      </c>
      <c r="G254" s="9" t="s">
        <v>309</v>
      </c>
      <c r="H254" s="9" t="s">
        <v>586</v>
      </c>
    </row>
    <row r="255" customFormat="false" ht="15" hidden="false" customHeight="false" outlineLevel="0" collapsed="false">
      <c r="A255" s="14" t="s">
        <v>126</v>
      </c>
      <c r="B255" s="14" t="s">
        <v>74</v>
      </c>
      <c r="C255" s="14" t="s">
        <v>330</v>
      </c>
      <c r="D255" s="14" t="s">
        <v>48</v>
      </c>
      <c r="E255" s="14" t="s">
        <v>308</v>
      </c>
      <c r="F255" s="16" t="n">
        <v>302.99</v>
      </c>
      <c r="G255" s="14" t="s">
        <v>309</v>
      </c>
      <c r="H255" s="14" t="s">
        <v>587</v>
      </c>
    </row>
    <row r="256" customFormat="false" ht="15" hidden="false" customHeight="false" outlineLevel="0" collapsed="false">
      <c r="A256" s="9" t="s">
        <v>126</v>
      </c>
      <c r="B256" s="9" t="s">
        <v>74</v>
      </c>
      <c r="C256" s="9" t="s">
        <v>311</v>
      </c>
      <c r="D256" s="9" t="s">
        <v>41</v>
      </c>
      <c r="E256" s="9" t="s">
        <v>308</v>
      </c>
      <c r="F256" s="11" t="n">
        <v>322.55</v>
      </c>
      <c r="G256" s="9" t="s">
        <v>309</v>
      </c>
      <c r="H256" s="9" t="s">
        <v>588</v>
      </c>
    </row>
    <row r="257" customFormat="false" ht="15" hidden="false" customHeight="false" outlineLevel="0" collapsed="false">
      <c r="A257" s="14" t="s">
        <v>126</v>
      </c>
      <c r="B257" s="14" t="s">
        <v>74</v>
      </c>
      <c r="C257" s="14" t="s">
        <v>330</v>
      </c>
      <c r="D257" s="14" t="s">
        <v>48</v>
      </c>
      <c r="E257" s="14" t="s">
        <v>308</v>
      </c>
      <c r="F257" s="16" t="n">
        <v>339.99</v>
      </c>
      <c r="G257" s="14" t="s">
        <v>309</v>
      </c>
      <c r="H257" s="14" t="s">
        <v>589</v>
      </c>
    </row>
    <row r="258" customFormat="false" ht="15" hidden="false" customHeight="false" outlineLevel="0" collapsed="false">
      <c r="A258" s="9" t="s">
        <v>126</v>
      </c>
      <c r="B258" s="9" t="s">
        <v>74</v>
      </c>
      <c r="C258" s="9" t="s">
        <v>315</v>
      </c>
      <c r="D258" s="9" t="s">
        <v>41</v>
      </c>
      <c r="E258" s="9" t="s">
        <v>308</v>
      </c>
      <c r="F258" s="11" t="n">
        <v>340</v>
      </c>
      <c r="G258" s="9" t="s">
        <v>309</v>
      </c>
      <c r="H258" s="9" t="s">
        <v>590</v>
      </c>
    </row>
    <row r="259" customFormat="false" ht="15" hidden="false" customHeight="false" outlineLevel="0" collapsed="false">
      <c r="A259" s="14" t="s">
        <v>126</v>
      </c>
      <c r="B259" s="14" t="s">
        <v>74</v>
      </c>
      <c r="C259" s="14" t="s">
        <v>315</v>
      </c>
      <c r="D259" s="14" t="s">
        <v>41</v>
      </c>
      <c r="E259" s="14" t="s">
        <v>308</v>
      </c>
      <c r="F259" s="16" t="n">
        <v>379.99</v>
      </c>
      <c r="G259" s="14" t="s">
        <v>309</v>
      </c>
      <c r="H259" s="14" t="s">
        <v>591</v>
      </c>
    </row>
    <row r="260" customFormat="false" ht="15" hidden="false" customHeight="false" outlineLevel="0" collapsed="false">
      <c r="A260" s="9" t="s">
        <v>126</v>
      </c>
      <c r="B260" s="9" t="s">
        <v>74</v>
      </c>
      <c r="C260" s="9" t="s">
        <v>315</v>
      </c>
      <c r="D260" s="9" t="s">
        <v>41</v>
      </c>
      <c r="E260" s="9" t="s">
        <v>308</v>
      </c>
      <c r="F260" s="11" t="n">
        <v>398.95</v>
      </c>
      <c r="G260" s="9" t="s">
        <v>309</v>
      </c>
      <c r="H260" s="9" t="s">
        <v>592</v>
      </c>
    </row>
    <row r="261" customFormat="false" ht="15" hidden="false" customHeight="false" outlineLevel="0" collapsed="false">
      <c r="A261" s="14" t="s">
        <v>131</v>
      </c>
      <c r="B261" s="14" t="s">
        <v>63</v>
      </c>
      <c r="C261" s="14" t="s">
        <v>306</v>
      </c>
      <c r="D261" s="14" t="s">
        <v>307</v>
      </c>
      <c r="E261" s="14" t="s">
        <v>57</v>
      </c>
      <c r="F261" s="16" t="n">
        <v>430</v>
      </c>
      <c r="G261" s="14" t="s">
        <v>309</v>
      </c>
      <c r="H261" s="14" t="s">
        <v>593</v>
      </c>
    </row>
    <row r="262" customFormat="false" ht="15" hidden="false" customHeight="false" outlineLevel="0" collapsed="false">
      <c r="A262" s="9" t="s">
        <v>131</v>
      </c>
      <c r="B262" s="9" t="s">
        <v>63</v>
      </c>
      <c r="C262" s="9" t="s">
        <v>369</v>
      </c>
      <c r="D262" s="9" t="s">
        <v>53</v>
      </c>
      <c r="E262" s="9" t="s">
        <v>308</v>
      </c>
      <c r="F262" s="11" t="n">
        <v>525</v>
      </c>
      <c r="G262" s="9" t="s">
        <v>594</v>
      </c>
      <c r="H262" s="9" t="s">
        <v>595</v>
      </c>
    </row>
    <row r="263" customFormat="false" ht="15" hidden="false" customHeight="false" outlineLevel="0" collapsed="false">
      <c r="A263" s="14" t="s">
        <v>131</v>
      </c>
      <c r="B263" s="14" t="s">
        <v>63</v>
      </c>
      <c r="C263" s="14" t="s">
        <v>306</v>
      </c>
      <c r="D263" s="14" t="s">
        <v>307</v>
      </c>
      <c r="E263" s="14" t="s">
        <v>308</v>
      </c>
      <c r="F263" s="16" t="n">
        <v>545</v>
      </c>
      <c r="G263" s="14" t="s">
        <v>309</v>
      </c>
      <c r="H263" s="14" t="s">
        <v>596</v>
      </c>
    </row>
    <row r="264" customFormat="false" ht="15" hidden="false" customHeight="false" outlineLevel="0" collapsed="false">
      <c r="A264" s="9" t="s">
        <v>131</v>
      </c>
      <c r="B264" s="9" t="s">
        <v>63</v>
      </c>
      <c r="C264" s="9" t="s">
        <v>369</v>
      </c>
      <c r="D264" s="9" t="s">
        <v>53</v>
      </c>
      <c r="E264" s="9" t="s">
        <v>308</v>
      </c>
      <c r="F264" s="11" t="n">
        <v>600</v>
      </c>
      <c r="G264" s="9" t="s">
        <v>597</v>
      </c>
      <c r="H264" s="9" t="s">
        <v>598</v>
      </c>
    </row>
    <row r="265" customFormat="false" ht="15" hidden="false" customHeight="false" outlineLevel="0" collapsed="false">
      <c r="A265" s="14" t="s">
        <v>131</v>
      </c>
      <c r="B265" s="14" t="s">
        <v>63</v>
      </c>
      <c r="C265" s="14" t="s">
        <v>369</v>
      </c>
      <c r="D265" s="14" t="s">
        <v>53</v>
      </c>
      <c r="E265" s="14" t="s">
        <v>308</v>
      </c>
      <c r="F265" s="16" t="n">
        <v>600</v>
      </c>
      <c r="G265" s="14" t="s">
        <v>599</v>
      </c>
      <c r="H265" s="14" t="s">
        <v>600</v>
      </c>
    </row>
    <row r="266" customFormat="false" ht="15" hidden="false" customHeight="false" outlineLevel="0" collapsed="false">
      <c r="A266" s="9" t="s">
        <v>131</v>
      </c>
      <c r="B266" s="9" t="s">
        <v>40</v>
      </c>
      <c r="C266" s="9" t="s">
        <v>306</v>
      </c>
      <c r="D266" s="9" t="s">
        <v>307</v>
      </c>
      <c r="E266" s="9" t="s">
        <v>308</v>
      </c>
      <c r="F266" s="11" t="n">
        <v>385</v>
      </c>
      <c r="G266" s="9" t="s">
        <v>309</v>
      </c>
      <c r="H266" s="9" t="s">
        <v>601</v>
      </c>
    </row>
    <row r="267" customFormat="false" ht="15" hidden="false" customHeight="false" outlineLevel="0" collapsed="false">
      <c r="A267" s="14" t="s">
        <v>131</v>
      </c>
      <c r="B267" s="14" t="s">
        <v>40</v>
      </c>
      <c r="C267" s="14" t="s">
        <v>306</v>
      </c>
      <c r="D267" s="14" t="s">
        <v>307</v>
      </c>
      <c r="E267" s="14" t="s">
        <v>308</v>
      </c>
      <c r="F267" s="16" t="n">
        <v>399.99</v>
      </c>
      <c r="G267" s="14" t="s">
        <v>309</v>
      </c>
      <c r="H267" s="14" t="s">
        <v>602</v>
      </c>
    </row>
    <row r="268" customFormat="false" ht="15" hidden="false" customHeight="false" outlineLevel="0" collapsed="false">
      <c r="A268" s="9" t="s">
        <v>131</v>
      </c>
      <c r="B268" s="9" t="s">
        <v>40</v>
      </c>
      <c r="C268" s="9" t="s">
        <v>306</v>
      </c>
      <c r="D268" s="9" t="s">
        <v>307</v>
      </c>
      <c r="E268" s="9" t="s">
        <v>308</v>
      </c>
      <c r="F268" s="11" t="n">
        <v>450.99</v>
      </c>
      <c r="G268" s="9" t="s">
        <v>309</v>
      </c>
      <c r="H268" s="9" t="s">
        <v>603</v>
      </c>
    </row>
    <row r="269" customFormat="false" ht="15" hidden="false" customHeight="false" outlineLevel="0" collapsed="false">
      <c r="A269" s="14" t="s">
        <v>131</v>
      </c>
      <c r="B269" s="14" t="s">
        <v>40</v>
      </c>
      <c r="C269" s="14" t="s">
        <v>369</v>
      </c>
      <c r="D269" s="14" t="s">
        <v>53</v>
      </c>
      <c r="E269" s="14" t="s">
        <v>308</v>
      </c>
      <c r="F269" s="16" t="n">
        <v>500</v>
      </c>
      <c r="G269" s="14" t="s">
        <v>604</v>
      </c>
      <c r="H269" s="14" t="s">
        <v>605</v>
      </c>
    </row>
    <row r="270" customFormat="false" ht="15" hidden="false" customHeight="false" outlineLevel="0" collapsed="false">
      <c r="A270" s="9" t="s">
        <v>131</v>
      </c>
      <c r="B270" s="9" t="s">
        <v>40</v>
      </c>
      <c r="C270" s="9" t="s">
        <v>369</v>
      </c>
      <c r="D270" s="9" t="s">
        <v>53</v>
      </c>
      <c r="E270" s="9" t="s">
        <v>308</v>
      </c>
      <c r="F270" s="11" t="n">
        <v>500</v>
      </c>
      <c r="G270" s="9" t="s">
        <v>350</v>
      </c>
      <c r="H270" s="9" t="s">
        <v>606</v>
      </c>
    </row>
    <row r="271" customFormat="false" ht="15" hidden="false" customHeight="false" outlineLevel="0" collapsed="false">
      <c r="A271" s="14" t="s">
        <v>131</v>
      </c>
      <c r="B271" s="14" t="s">
        <v>47</v>
      </c>
      <c r="C271" s="14" t="s">
        <v>306</v>
      </c>
      <c r="D271" s="14" t="s">
        <v>307</v>
      </c>
      <c r="E271" s="14" t="s">
        <v>308</v>
      </c>
      <c r="F271" s="16" t="n">
        <v>350</v>
      </c>
      <c r="G271" s="14" t="s">
        <v>309</v>
      </c>
      <c r="H271" s="14" t="s">
        <v>607</v>
      </c>
    </row>
    <row r="272" customFormat="false" ht="15" hidden="false" customHeight="false" outlineLevel="0" collapsed="false">
      <c r="A272" s="9" t="s">
        <v>131</v>
      </c>
      <c r="B272" s="9" t="s">
        <v>47</v>
      </c>
      <c r="C272" s="9" t="s">
        <v>369</v>
      </c>
      <c r="D272" s="9" t="s">
        <v>53</v>
      </c>
      <c r="E272" s="9" t="s">
        <v>308</v>
      </c>
      <c r="F272" s="11" t="n">
        <v>450</v>
      </c>
      <c r="G272" s="9" t="s">
        <v>608</v>
      </c>
      <c r="H272" s="9" t="s">
        <v>609</v>
      </c>
    </row>
    <row r="273" customFormat="false" ht="15" hidden="false" customHeight="false" outlineLevel="0" collapsed="false">
      <c r="A273" s="14" t="s">
        <v>131</v>
      </c>
      <c r="B273" s="14" t="s">
        <v>74</v>
      </c>
      <c r="C273" s="14" t="s">
        <v>306</v>
      </c>
      <c r="D273" s="14" t="s">
        <v>307</v>
      </c>
      <c r="E273" s="14" t="s">
        <v>57</v>
      </c>
      <c r="F273" s="16" t="n">
        <v>299.95</v>
      </c>
      <c r="G273" s="14" t="s">
        <v>309</v>
      </c>
      <c r="H273" s="14" t="s">
        <v>610</v>
      </c>
    </row>
    <row r="274" customFormat="false" ht="15" hidden="false" customHeight="false" outlineLevel="0" collapsed="false">
      <c r="A274" s="9" t="s">
        <v>131</v>
      </c>
      <c r="B274" s="9" t="s">
        <v>74</v>
      </c>
      <c r="C274" s="9" t="s">
        <v>306</v>
      </c>
      <c r="D274" s="9" t="s">
        <v>307</v>
      </c>
      <c r="E274" s="9" t="s">
        <v>317</v>
      </c>
      <c r="F274" s="11" t="n">
        <v>325</v>
      </c>
      <c r="G274" s="9" t="s">
        <v>309</v>
      </c>
      <c r="H274" s="9" t="s">
        <v>611</v>
      </c>
    </row>
    <row r="275" customFormat="false" ht="15" hidden="false" customHeight="false" outlineLevel="0" collapsed="false">
      <c r="A275" s="14" t="s">
        <v>131</v>
      </c>
      <c r="B275" s="14" t="s">
        <v>74</v>
      </c>
      <c r="C275" s="14" t="s">
        <v>306</v>
      </c>
      <c r="D275" s="14" t="s">
        <v>307</v>
      </c>
      <c r="E275" s="14" t="s">
        <v>308</v>
      </c>
      <c r="F275" s="16" t="n">
        <v>340</v>
      </c>
      <c r="G275" s="14" t="s">
        <v>309</v>
      </c>
      <c r="H275" s="14" t="s">
        <v>612</v>
      </c>
    </row>
    <row r="276" customFormat="false" ht="15" hidden="false" customHeight="false" outlineLevel="0" collapsed="false">
      <c r="A276" s="9" t="s">
        <v>131</v>
      </c>
      <c r="B276" s="9" t="s">
        <v>74</v>
      </c>
      <c r="C276" s="9" t="s">
        <v>306</v>
      </c>
      <c r="D276" s="9" t="s">
        <v>307</v>
      </c>
      <c r="E276" s="9" t="s">
        <v>308</v>
      </c>
      <c r="F276" s="11" t="n">
        <v>379.99</v>
      </c>
      <c r="G276" s="9" t="s">
        <v>309</v>
      </c>
      <c r="H276" s="9" t="s">
        <v>613</v>
      </c>
    </row>
    <row r="277" customFormat="false" ht="15" hidden="false" customHeight="false" outlineLevel="0" collapsed="false">
      <c r="A277" s="14" t="s">
        <v>131</v>
      </c>
      <c r="B277" s="14" t="s">
        <v>74</v>
      </c>
      <c r="C277" s="14" t="s">
        <v>369</v>
      </c>
      <c r="D277" s="14" t="s">
        <v>53</v>
      </c>
      <c r="E277" s="14" t="s">
        <v>308</v>
      </c>
      <c r="F277" s="16" t="n">
        <v>425</v>
      </c>
      <c r="G277" s="14" t="s">
        <v>614</v>
      </c>
      <c r="H277" s="14" t="s">
        <v>615</v>
      </c>
    </row>
    <row r="278" customFormat="false" ht="15" hidden="false" customHeight="false" outlineLevel="0" collapsed="false">
      <c r="A278" s="9" t="s">
        <v>131</v>
      </c>
      <c r="B278" s="9" t="s">
        <v>74</v>
      </c>
      <c r="C278" s="9" t="s">
        <v>369</v>
      </c>
      <c r="D278" s="9" t="s">
        <v>53</v>
      </c>
      <c r="E278" s="9" t="s">
        <v>308</v>
      </c>
      <c r="F278" s="11" t="n">
        <v>425</v>
      </c>
      <c r="G278" s="9" t="s">
        <v>498</v>
      </c>
      <c r="H278" s="9" t="s">
        <v>616</v>
      </c>
    </row>
    <row r="279" customFormat="false" ht="15" hidden="false" customHeight="false" outlineLevel="0" collapsed="false">
      <c r="A279" s="14" t="s">
        <v>131</v>
      </c>
      <c r="B279" s="14" t="s">
        <v>74</v>
      </c>
      <c r="C279" s="14" t="s">
        <v>369</v>
      </c>
      <c r="D279" s="14" t="s">
        <v>53</v>
      </c>
      <c r="E279" s="14" t="s">
        <v>308</v>
      </c>
      <c r="F279" s="16" t="n">
        <v>425</v>
      </c>
      <c r="G279" s="14" t="s">
        <v>617</v>
      </c>
      <c r="H279" s="14" t="s">
        <v>618</v>
      </c>
    </row>
    <row r="280" customFormat="false" ht="15" hidden="false" customHeight="false" outlineLevel="0" collapsed="false">
      <c r="A280" s="9" t="s">
        <v>131</v>
      </c>
      <c r="B280" s="9" t="s">
        <v>74</v>
      </c>
      <c r="C280" s="9" t="s">
        <v>369</v>
      </c>
      <c r="D280" s="9" t="s">
        <v>53</v>
      </c>
      <c r="E280" s="9" t="s">
        <v>308</v>
      </c>
      <c r="F280" s="11" t="n">
        <v>425</v>
      </c>
      <c r="G280" s="9" t="s">
        <v>619</v>
      </c>
      <c r="H280" s="9" t="s">
        <v>620</v>
      </c>
    </row>
    <row r="281" customFormat="false" ht="15" hidden="false" customHeight="false" outlineLevel="0" collapsed="false">
      <c r="A281" s="14" t="s">
        <v>131</v>
      </c>
      <c r="B281" s="14" t="s">
        <v>74</v>
      </c>
      <c r="C281" s="14" t="s">
        <v>330</v>
      </c>
      <c r="D281" s="14" t="s">
        <v>48</v>
      </c>
      <c r="E281" s="14" t="s">
        <v>308</v>
      </c>
      <c r="F281" s="16" t="n">
        <v>441.59</v>
      </c>
      <c r="G281" s="14" t="s">
        <v>309</v>
      </c>
      <c r="H281" s="14" t="s">
        <v>621</v>
      </c>
    </row>
    <row r="282" customFormat="false" ht="15" hidden="false" customHeight="false" outlineLevel="0" collapsed="false">
      <c r="A282" s="9" t="s">
        <v>135</v>
      </c>
      <c r="B282" s="9" t="s">
        <v>47</v>
      </c>
      <c r="C282" s="9" t="s">
        <v>306</v>
      </c>
      <c r="D282" s="9" t="s">
        <v>307</v>
      </c>
      <c r="E282" s="9" t="s">
        <v>308</v>
      </c>
      <c r="F282" s="11" t="n">
        <v>310</v>
      </c>
      <c r="G282" s="9" t="s">
        <v>309</v>
      </c>
      <c r="H282" s="9" t="s">
        <v>622</v>
      </c>
    </row>
    <row r="283" customFormat="false" ht="15" hidden="false" customHeight="false" outlineLevel="0" collapsed="false">
      <c r="A283" s="14" t="s">
        <v>135</v>
      </c>
      <c r="B283" s="14" t="s">
        <v>47</v>
      </c>
      <c r="C283" s="14" t="s">
        <v>355</v>
      </c>
      <c r="D283" s="14" t="s">
        <v>60</v>
      </c>
      <c r="E283" s="14" t="s">
        <v>308</v>
      </c>
      <c r="F283" s="16" t="n">
        <v>369.99</v>
      </c>
      <c r="G283" s="14" t="s">
        <v>309</v>
      </c>
      <c r="H283" s="14" t="s">
        <v>623</v>
      </c>
    </row>
    <row r="284" customFormat="false" ht="15" hidden="false" customHeight="false" outlineLevel="0" collapsed="false">
      <c r="A284" s="9" t="s">
        <v>135</v>
      </c>
      <c r="B284" s="9" t="s">
        <v>47</v>
      </c>
      <c r="C284" s="9" t="s">
        <v>369</v>
      </c>
      <c r="D284" s="9" t="s">
        <v>53</v>
      </c>
      <c r="E284" s="9" t="s">
        <v>308</v>
      </c>
      <c r="F284" s="11" t="n">
        <v>400</v>
      </c>
      <c r="G284" s="9" t="s">
        <v>624</v>
      </c>
      <c r="H284" s="9" t="s">
        <v>625</v>
      </c>
    </row>
    <row r="285" customFormat="false" ht="15" hidden="false" customHeight="false" outlineLevel="0" collapsed="false">
      <c r="A285" s="14" t="s">
        <v>135</v>
      </c>
      <c r="B285" s="14" t="s">
        <v>47</v>
      </c>
      <c r="C285" s="14" t="s">
        <v>369</v>
      </c>
      <c r="D285" s="14" t="s">
        <v>53</v>
      </c>
      <c r="E285" s="14" t="s">
        <v>308</v>
      </c>
      <c r="F285" s="16" t="n">
        <v>400</v>
      </c>
      <c r="G285" s="14" t="s">
        <v>626</v>
      </c>
      <c r="H285" s="14" t="s">
        <v>627</v>
      </c>
    </row>
    <row r="286" customFormat="false" ht="15" hidden="false" customHeight="false" outlineLevel="0" collapsed="false">
      <c r="A286" s="9" t="s">
        <v>135</v>
      </c>
      <c r="B286" s="9" t="s">
        <v>47</v>
      </c>
      <c r="C286" s="9" t="s">
        <v>369</v>
      </c>
      <c r="D286" s="9" t="s">
        <v>53</v>
      </c>
      <c r="E286" s="9" t="s">
        <v>308</v>
      </c>
      <c r="F286" s="11" t="n">
        <v>400</v>
      </c>
      <c r="G286" s="9" t="s">
        <v>493</v>
      </c>
      <c r="H286" s="9" t="s">
        <v>628</v>
      </c>
    </row>
    <row r="287" customFormat="false" ht="15" hidden="false" customHeight="false" outlineLevel="0" collapsed="false">
      <c r="A287" s="14" t="s">
        <v>135</v>
      </c>
      <c r="B287" s="14" t="s">
        <v>47</v>
      </c>
      <c r="C287" s="14" t="s">
        <v>369</v>
      </c>
      <c r="D287" s="14" t="s">
        <v>53</v>
      </c>
      <c r="E287" s="14" t="s">
        <v>308</v>
      </c>
      <c r="F287" s="16" t="n">
        <v>400</v>
      </c>
      <c r="G287" s="14" t="s">
        <v>626</v>
      </c>
      <c r="H287" s="14" t="s">
        <v>629</v>
      </c>
    </row>
    <row r="288" customFormat="false" ht="15" hidden="false" customHeight="false" outlineLevel="0" collapsed="false">
      <c r="A288" s="9" t="s">
        <v>135</v>
      </c>
      <c r="B288" s="9" t="s">
        <v>74</v>
      </c>
      <c r="C288" s="9" t="s">
        <v>306</v>
      </c>
      <c r="D288" s="9" t="s">
        <v>307</v>
      </c>
      <c r="E288" s="9" t="s">
        <v>308</v>
      </c>
      <c r="F288" s="11" t="n">
        <v>178.3</v>
      </c>
      <c r="G288" s="9" t="s">
        <v>309</v>
      </c>
      <c r="H288" s="9" t="s">
        <v>630</v>
      </c>
    </row>
    <row r="289" customFormat="false" ht="15" hidden="false" customHeight="false" outlineLevel="0" collapsed="false">
      <c r="A289" s="14" t="s">
        <v>135</v>
      </c>
      <c r="B289" s="14" t="s">
        <v>74</v>
      </c>
      <c r="C289" s="14" t="s">
        <v>306</v>
      </c>
      <c r="D289" s="14" t="s">
        <v>307</v>
      </c>
      <c r="E289" s="14" t="s">
        <v>308</v>
      </c>
      <c r="F289" s="16" t="n">
        <v>200</v>
      </c>
      <c r="G289" s="14" t="s">
        <v>309</v>
      </c>
      <c r="H289" s="14" t="s">
        <v>631</v>
      </c>
    </row>
    <row r="290" customFormat="false" ht="15" hidden="false" customHeight="false" outlineLevel="0" collapsed="false">
      <c r="A290" s="9" t="s">
        <v>135</v>
      </c>
      <c r="B290" s="9" t="s">
        <v>74</v>
      </c>
      <c r="C290" s="9" t="s">
        <v>306</v>
      </c>
      <c r="D290" s="9" t="s">
        <v>307</v>
      </c>
      <c r="E290" s="9" t="s">
        <v>308</v>
      </c>
      <c r="F290" s="11" t="n">
        <v>299.99</v>
      </c>
      <c r="G290" s="9" t="s">
        <v>309</v>
      </c>
      <c r="H290" s="9" t="s">
        <v>632</v>
      </c>
    </row>
    <row r="291" customFormat="false" ht="15" hidden="false" customHeight="false" outlineLevel="0" collapsed="false">
      <c r="A291" s="14" t="s">
        <v>135</v>
      </c>
      <c r="B291" s="14" t="s">
        <v>74</v>
      </c>
      <c r="C291" s="14" t="s">
        <v>306</v>
      </c>
      <c r="D291" s="14" t="s">
        <v>307</v>
      </c>
      <c r="E291" s="14" t="s">
        <v>308</v>
      </c>
      <c r="F291" s="16" t="n">
        <v>314.99</v>
      </c>
      <c r="G291" s="14" t="s">
        <v>309</v>
      </c>
      <c r="H291" s="14" t="s">
        <v>633</v>
      </c>
    </row>
    <row r="292" customFormat="false" ht="15" hidden="false" customHeight="false" outlineLevel="0" collapsed="false">
      <c r="A292" s="9" t="s">
        <v>135</v>
      </c>
      <c r="B292" s="9" t="s">
        <v>74</v>
      </c>
      <c r="C292" s="9" t="s">
        <v>355</v>
      </c>
      <c r="D292" s="9" t="s">
        <v>60</v>
      </c>
      <c r="E292" s="9" t="s">
        <v>308</v>
      </c>
      <c r="F292" s="11" t="n">
        <v>342.99</v>
      </c>
      <c r="G292" s="9" t="s">
        <v>309</v>
      </c>
      <c r="H292" s="9" t="s">
        <v>634</v>
      </c>
    </row>
    <row r="293" customFormat="false" ht="15" hidden="false" customHeight="false" outlineLevel="0" collapsed="false">
      <c r="A293" s="14" t="s">
        <v>135</v>
      </c>
      <c r="B293" s="14" t="s">
        <v>74</v>
      </c>
      <c r="C293" s="14" t="s">
        <v>369</v>
      </c>
      <c r="D293" s="14" t="s">
        <v>53</v>
      </c>
      <c r="E293" s="14" t="s">
        <v>308</v>
      </c>
      <c r="F293" s="16" t="n">
        <v>375</v>
      </c>
      <c r="G293" s="14" t="s">
        <v>635</v>
      </c>
      <c r="H293" s="14" t="s">
        <v>636</v>
      </c>
    </row>
    <row r="294" customFormat="false" ht="15" hidden="false" customHeight="false" outlineLevel="0" collapsed="false">
      <c r="A294" s="9" t="s">
        <v>135</v>
      </c>
      <c r="B294" s="9" t="s">
        <v>74</v>
      </c>
      <c r="C294" s="9" t="s">
        <v>369</v>
      </c>
      <c r="D294" s="9" t="s">
        <v>53</v>
      </c>
      <c r="E294" s="9" t="s">
        <v>308</v>
      </c>
      <c r="F294" s="11" t="n">
        <v>375</v>
      </c>
      <c r="G294" s="9" t="s">
        <v>604</v>
      </c>
      <c r="H294" s="9" t="s">
        <v>637</v>
      </c>
    </row>
    <row r="295" customFormat="false" ht="15" hidden="false" customHeight="false" outlineLevel="0" collapsed="false">
      <c r="A295" s="14" t="s">
        <v>135</v>
      </c>
      <c r="B295" s="14" t="s">
        <v>74</v>
      </c>
      <c r="C295" s="14" t="s">
        <v>369</v>
      </c>
      <c r="D295" s="14" t="s">
        <v>53</v>
      </c>
      <c r="E295" s="14" t="s">
        <v>308</v>
      </c>
      <c r="F295" s="16" t="n">
        <v>375</v>
      </c>
      <c r="G295" s="14" t="s">
        <v>638</v>
      </c>
      <c r="H295" s="14" t="s">
        <v>639</v>
      </c>
    </row>
    <row r="296" customFormat="false" ht="15" hidden="false" customHeight="false" outlineLevel="0" collapsed="false">
      <c r="A296" s="9" t="s">
        <v>135</v>
      </c>
      <c r="B296" s="9" t="s">
        <v>74</v>
      </c>
      <c r="C296" s="9" t="s">
        <v>369</v>
      </c>
      <c r="D296" s="9" t="s">
        <v>53</v>
      </c>
      <c r="E296" s="9" t="s">
        <v>308</v>
      </c>
      <c r="F296" s="11" t="n">
        <v>375</v>
      </c>
      <c r="G296" s="9" t="s">
        <v>597</v>
      </c>
      <c r="H296" s="9" t="s">
        <v>640</v>
      </c>
    </row>
    <row r="297" customFormat="false" ht="15" hidden="false" customHeight="false" outlineLevel="0" collapsed="false">
      <c r="A297" s="14" t="s">
        <v>140</v>
      </c>
      <c r="B297" s="14" t="s">
        <v>40</v>
      </c>
      <c r="C297" s="14" t="s">
        <v>306</v>
      </c>
      <c r="D297" s="14" t="s">
        <v>307</v>
      </c>
      <c r="E297" s="14" t="s">
        <v>308</v>
      </c>
      <c r="F297" s="16" t="n">
        <v>275</v>
      </c>
      <c r="G297" s="14" t="s">
        <v>309</v>
      </c>
      <c r="H297" s="14" t="s">
        <v>641</v>
      </c>
    </row>
    <row r="298" customFormat="false" ht="15" hidden="false" customHeight="false" outlineLevel="0" collapsed="false">
      <c r="A298" s="9" t="s">
        <v>140</v>
      </c>
      <c r="B298" s="9" t="s">
        <v>47</v>
      </c>
      <c r="C298" s="9" t="s">
        <v>369</v>
      </c>
      <c r="D298" s="9" t="s">
        <v>53</v>
      </c>
      <c r="E298" s="9" t="s">
        <v>308</v>
      </c>
      <c r="F298" s="11" t="n">
        <v>283.99</v>
      </c>
      <c r="G298" s="9" t="s">
        <v>309</v>
      </c>
      <c r="H298" s="9" t="s">
        <v>642</v>
      </c>
    </row>
    <row r="299" customFormat="false" ht="15" hidden="false" customHeight="false" outlineLevel="0" collapsed="false">
      <c r="A299" s="14" t="s">
        <v>140</v>
      </c>
      <c r="B299" s="14" t="s">
        <v>47</v>
      </c>
      <c r="C299" s="14" t="s">
        <v>306</v>
      </c>
      <c r="D299" s="14" t="s">
        <v>307</v>
      </c>
      <c r="E299" s="14" t="s">
        <v>308</v>
      </c>
      <c r="F299" s="16" t="n">
        <v>287.99</v>
      </c>
      <c r="G299" s="14" t="s">
        <v>309</v>
      </c>
      <c r="H299" s="14" t="s">
        <v>643</v>
      </c>
    </row>
    <row r="300" customFormat="false" ht="15" hidden="false" customHeight="false" outlineLevel="0" collapsed="false">
      <c r="A300" s="9" t="s">
        <v>140</v>
      </c>
      <c r="B300" s="9" t="s">
        <v>47</v>
      </c>
      <c r="C300" s="9" t="s">
        <v>369</v>
      </c>
      <c r="D300" s="9" t="s">
        <v>53</v>
      </c>
      <c r="E300" s="9" t="s">
        <v>308</v>
      </c>
      <c r="F300" s="11" t="n">
        <v>289.75</v>
      </c>
      <c r="G300" s="9" t="s">
        <v>309</v>
      </c>
      <c r="H300" s="9" t="s">
        <v>644</v>
      </c>
    </row>
    <row r="301" customFormat="false" ht="15" hidden="false" customHeight="false" outlineLevel="0" collapsed="false">
      <c r="A301" s="14" t="s">
        <v>140</v>
      </c>
      <c r="B301" s="14" t="s">
        <v>74</v>
      </c>
      <c r="C301" s="14" t="s">
        <v>306</v>
      </c>
      <c r="D301" s="14" t="s">
        <v>307</v>
      </c>
      <c r="E301" s="14" t="s">
        <v>335</v>
      </c>
      <c r="F301" s="16" t="n">
        <v>119</v>
      </c>
      <c r="G301" s="14" t="s">
        <v>309</v>
      </c>
      <c r="H301" s="14" t="s">
        <v>645</v>
      </c>
    </row>
    <row r="302" customFormat="false" ht="15" hidden="false" customHeight="false" outlineLevel="0" collapsed="false">
      <c r="A302" s="9" t="s">
        <v>140</v>
      </c>
      <c r="B302" s="9" t="s">
        <v>74</v>
      </c>
      <c r="C302" s="9" t="s">
        <v>306</v>
      </c>
      <c r="D302" s="9" t="s">
        <v>307</v>
      </c>
      <c r="E302" s="9" t="s">
        <v>646</v>
      </c>
      <c r="F302" s="11" t="n">
        <v>150</v>
      </c>
      <c r="G302" s="9" t="s">
        <v>647</v>
      </c>
      <c r="H302" s="9" t="s">
        <v>648</v>
      </c>
    </row>
    <row r="303" customFormat="false" ht="15" hidden="false" customHeight="false" outlineLevel="0" collapsed="false">
      <c r="A303" s="14" t="s">
        <v>140</v>
      </c>
      <c r="B303" s="14" t="s">
        <v>74</v>
      </c>
      <c r="C303" s="14" t="s">
        <v>306</v>
      </c>
      <c r="D303" s="14" t="s">
        <v>307</v>
      </c>
      <c r="E303" s="14" t="s">
        <v>317</v>
      </c>
      <c r="F303" s="16" t="n">
        <v>152.5</v>
      </c>
      <c r="G303" s="14" t="s">
        <v>309</v>
      </c>
      <c r="H303" s="14" t="s">
        <v>649</v>
      </c>
    </row>
    <row r="304" customFormat="false" ht="15" hidden="false" customHeight="false" outlineLevel="0" collapsed="false">
      <c r="A304" s="9" t="s">
        <v>140</v>
      </c>
      <c r="B304" s="9" t="s">
        <v>74</v>
      </c>
      <c r="C304" s="9" t="s">
        <v>306</v>
      </c>
      <c r="D304" s="9" t="s">
        <v>307</v>
      </c>
      <c r="E304" s="9" t="s">
        <v>308</v>
      </c>
      <c r="F304" s="11" t="n">
        <v>164.04</v>
      </c>
      <c r="G304" s="9" t="s">
        <v>309</v>
      </c>
      <c r="H304" s="9" t="s">
        <v>650</v>
      </c>
    </row>
    <row r="305" customFormat="false" ht="15" hidden="false" customHeight="false" outlineLevel="0" collapsed="false">
      <c r="A305" s="14" t="s">
        <v>140</v>
      </c>
      <c r="B305" s="14" t="s">
        <v>74</v>
      </c>
      <c r="C305" s="14" t="s">
        <v>306</v>
      </c>
      <c r="D305" s="14" t="s">
        <v>307</v>
      </c>
      <c r="E305" s="14" t="s">
        <v>646</v>
      </c>
      <c r="F305" s="16" t="n">
        <v>165</v>
      </c>
      <c r="G305" s="14" t="s">
        <v>647</v>
      </c>
      <c r="H305" s="14" t="s">
        <v>651</v>
      </c>
    </row>
    <row r="306" customFormat="false" ht="15" hidden="false" customHeight="false" outlineLevel="0" collapsed="false">
      <c r="A306" s="9" t="s">
        <v>140</v>
      </c>
      <c r="B306" s="9" t="s">
        <v>74</v>
      </c>
      <c r="C306" s="9" t="s">
        <v>306</v>
      </c>
      <c r="D306" s="9" t="s">
        <v>307</v>
      </c>
      <c r="E306" s="9" t="s">
        <v>57</v>
      </c>
      <c r="F306" s="11" t="n">
        <v>174.89</v>
      </c>
      <c r="G306" s="9" t="s">
        <v>309</v>
      </c>
      <c r="H306" s="9" t="s">
        <v>652</v>
      </c>
    </row>
    <row r="307" customFormat="false" ht="15" hidden="false" customHeight="false" outlineLevel="0" collapsed="false">
      <c r="A307" s="14" t="s">
        <v>140</v>
      </c>
      <c r="B307" s="14" t="s">
        <v>74</v>
      </c>
      <c r="C307" s="14" t="s">
        <v>306</v>
      </c>
      <c r="D307" s="14" t="s">
        <v>307</v>
      </c>
      <c r="E307" s="14" t="s">
        <v>308</v>
      </c>
      <c r="F307" s="16" t="n">
        <v>175</v>
      </c>
      <c r="G307" s="14" t="s">
        <v>309</v>
      </c>
      <c r="H307" s="14" t="s">
        <v>653</v>
      </c>
    </row>
    <row r="308" customFormat="false" ht="15" hidden="false" customHeight="false" outlineLevel="0" collapsed="false">
      <c r="A308" s="9" t="s">
        <v>140</v>
      </c>
      <c r="B308" s="9" t="s">
        <v>74</v>
      </c>
      <c r="C308" s="9" t="s">
        <v>306</v>
      </c>
      <c r="D308" s="9" t="s">
        <v>307</v>
      </c>
      <c r="E308" s="9" t="s">
        <v>308</v>
      </c>
      <c r="F308" s="11" t="n">
        <v>177.5</v>
      </c>
      <c r="G308" s="9" t="s">
        <v>309</v>
      </c>
      <c r="H308" s="9" t="s">
        <v>654</v>
      </c>
    </row>
    <row r="309" customFormat="false" ht="15" hidden="false" customHeight="false" outlineLevel="0" collapsed="false">
      <c r="A309" s="14" t="s">
        <v>140</v>
      </c>
      <c r="B309" s="14" t="s">
        <v>74</v>
      </c>
      <c r="C309" s="14" t="s">
        <v>306</v>
      </c>
      <c r="D309" s="14" t="s">
        <v>307</v>
      </c>
      <c r="E309" s="14" t="s">
        <v>308</v>
      </c>
      <c r="F309" s="16" t="n">
        <v>184.5</v>
      </c>
      <c r="G309" s="14" t="s">
        <v>309</v>
      </c>
      <c r="H309" s="14" t="s">
        <v>655</v>
      </c>
    </row>
    <row r="310" customFormat="false" ht="15" hidden="false" customHeight="false" outlineLevel="0" collapsed="false">
      <c r="A310" s="9" t="s">
        <v>140</v>
      </c>
      <c r="B310" s="9" t="s">
        <v>74</v>
      </c>
      <c r="C310" s="9" t="s">
        <v>315</v>
      </c>
      <c r="D310" s="9" t="s">
        <v>41</v>
      </c>
      <c r="E310" s="9" t="s">
        <v>656</v>
      </c>
      <c r="F310" s="11" t="n">
        <v>200</v>
      </c>
      <c r="G310" s="9" t="s">
        <v>309</v>
      </c>
      <c r="H310" s="9" t="s">
        <v>657</v>
      </c>
    </row>
    <row r="311" customFormat="false" ht="15" hidden="false" customHeight="false" outlineLevel="0" collapsed="false">
      <c r="A311" s="14" t="s">
        <v>140</v>
      </c>
      <c r="B311" s="14" t="s">
        <v>74</v>
      </c>
      <c r="C311" s="14" t="s">
        <v>306</v>
      </c>
      <c r="D311" s="14" t="s">
        <v>307</v>
      </c>
      <c r="E311" s="14" t="s">
        <v>308</v>
      </c>
      <c r="F311" s="16" t="n">
        <v>200</v>
      </c>
      <c r="G311" s="14" t="s">
        <v>309</v>
      </c>
      <c r="H311" s="14" t="s">
        <v>658</v>
      </c>
    </row>
    <row r="312" customFormat="false" ht="15" hidden="false" customHeight="false" outlineLevel="0" collapsed="false">
      <c r="A312" s="9" t="s">
        <v>140</v>
      </c>
      <c r="B312" s="9" t="s">
        <v>74</v>
      </c>
      <c r="C312" s="9" t="s">
        <v>306</v>
      </c>
      <c r="D312" s="9" t="s">
        <v>307</v>
      </c>
      <c r="E312" s="9" t="s">
        <v>308</v>
      </c>
      <c r="F312" s="11" t="n">
        <v>200</v>
      </c>
      <c r="G312" s="9" t="s">
        <v>309</v>
      </c>
      <c r="H312" s="9" t="s">
        <v>659</v>
      </c>
    </row>
    <row r="313" customFormat="false" ht="15" hidden="false" customHeight="false" outlineLevel="0" collapsed="false">
      <c r="A313" s="14" t="s">
        <v>140</v>
      </c>
      <c r="B313" s="14" t="s">
        <v>74</v>
      </c>
      <c r="C313" s="14" t="s">
        <v>306</v>
      </c>
      <c r="D313" s="14" t="s">
        <v>307</v>
      </c>
      <c r="E313" s="14" t="s">
        <v>308</v>
      </c>
      <c r="F313" s="16" t="n">
        <v>205</v>
      </c>
      <c r="G313" s="14" t="s">
        <v>309</v>
      </c>
      <c r="H313" s="14" t="s">
        <v>660</v>
      </c>
    </row>
    <row r="314" customFormat="false" ht="15" hidden="false" customHeight="false" outlineLevel="0" collapsed="false">
      <c r="A314" s="9" t="s">
        <v>140</v>
      </c>
      <c r="B314" s="9" t="s">
        <v>74</v>
      </c>
      <c r="C314" s="9" t="s">
        <v>311</v>
      </c>
      <c r="D314" s="9" t="s">
        <v>41</v>
      </c>
      <c r="E314" s="9" t="s">
        <v>308</v>
      </c>
      <c r="F314" s="11" t="n">
        <v>218</v>
      </c>
      <c r="G314" s="9" t="s">
        <v>309</v>
      </c>
      <c r="H314" s="9" t="s">
        <v>661</v>
      </c>
    </row>
    <row r="315" customFormat="false" ht="15" hidden="false" customHeight="false" outlineLevel="0" collapsed="false">
      <c r="A315" s="14" t="s">
        <v>140</v>
      </c>
      <c r="B315" s="14" t="s">
        <v>74</v>
      </c>
      <c r="C315" s="14" t="s">
        <v>306</v>
      </c>
      <c r="D315" s="14" t="s">
        <v>307</v>
      </c>
      <c r="E315" s="14" t="s">
        <v>57</v>
      </c>
      <c r="F315" s="16" t="n">
        <v>229.99</v>
      </c>
      <c r="G315" s="14" t="s">
        <v>309</v>
      </c>
      <c r="H315" s="14" t="s">
        <v>662</v>
      </c>
    </row>
    <row r="316" customFormat="false" ht="15" hidden="false" customHeight="false" outlineLevel="0" collapsed="false">
      <c r="A316" s="9" t="s">
        <v>140</v>
      </c>
      <c r="B316" s="9" t="s">
        <v>74</v>
      </c>
      <c r="C316" s="9" t="s">
        <v>306</v>
      </c>
      <c r="D316" s="9" t="s">
        <v>307</v>
      </c>
      <c r="E316" s="9" t="s">
        <v>308</v>
      </c>
      <c r="F316" s="11" t="n">
        <v>230</v>
      </c>
      <c r="G316" s="9" t="s">
        <v>309</v>
      </c>
      <c r="H316" s="9" t="s">
        <v>663</v>
      </c>
    </row>
    <row r="317" customFormat="false" ht="15" hidden="false" customHeight="false" outlineLevel="0" collapsed="false">
      <c r="A317" s="14" t="s">
        <v>140</v>
      </c>
      <c r="B317" s="14" t="s">
        <v>74</v>
      </c>
      <c r="C317" s="14" t="s">
        <v>306</v>
      </c>
      <c r="D317" s="14" t="s">
        <v>307</v>
      </c>
      <c r="E317" s="14" t="s">
        <v>308</v>
      </c>
      <c r="F317" s="16" t="n">
        <v>233.79</v>
      </c>
      <c r="G317" s="14" t="s">
        <v>309</v>
      </c>
      <c r="H317" s="14" t="s">
        <v>664</v>
      </c>
    </row>
    <row r="318" customFormat="false" ht="15" hidden="false" customHeight="false" outlineLevel="0" collapsed="false">
      <c r="A318" s="9" t="s">
        <v>140</v>
      </c>
      <c r="B318" s="9" t="s">
        <v>74</v>
      </c>
      <c r="C318" s="9" t="s">
        <v>306</v>
      </c>
      <c r="D318" s="9" t="s">
        <v>307</v>
      </c>
      <c r="E318" s="9" t="s">
        <v>308</v>
      </c>
      <c r="F318" s="11" t="n">
        <v>240</v>
      </c>
      <c r="G318" s="9" t="s">
        <v>309</v>
      </c>
      <c r="H318" s="9" t="s">
        <v>665</v>
      </c>
    </row>
    <row r="319" customFormat="false" ht="15" hidden="false" customHeight="false" outlineLevel="0" collapsed="false">
      <c r="A319" s="14" t="s">
        <v>140</v>
      </c>
      <c r="B319" s="14" t="s">
        <v>74</v>
      </c>
      <c r="C319" s="14" t="s">
        <v>355</v>
      </c>
      <c r="D319" s="14" t="s">
        <v>60</v>
      </c>
      <c r="E319" s="14" t="s">
        <v>308</v>
      </c>
      <c r="F319" s="16" t="n">
        <v>243</v>
      </c>
      <c r="G319" s="14" t="s">
        <v>309</v>
      </c>
      <c r="H319" s="14" t="s">
        <v>666</v>
      </c>
    </row>
    <row r="320" customFormat="false" ht="15" hidden="false" customHeight="false" outlineLevel="0" collapsed="false">
      <c r="A320" s="9" t="s">
        <v>140</v>
      </c>
      <c r="B320" s="9" t="s">
        <v>74</v>
      </c>
      <c r="C320" s="9" t="s">
        <v>306</v>
      </c>
      <c r="D320" s="9" t="s">
        <v>307</v>
      </c>
      <c r="E320" s="9" t="s">
        <v>308</v>
      </c>
      <c r="F320" s="11" t="n">
        <v>249.99</v>
      </c>
      <c r="G320" s="9" t="s">
        <v>309</v>
      </c>
      <c r="H320" s="9" t="s">
        <v>667</v>
      </c>
    </row>
    <row r="321" customFormat="false" ht="15" hidden="false" customHeight="false" outlineLevel="0" collapsed="false">
      <c r="A321" s="14" t="s">
        <v>140</v>
      </c>
      <c r="B321" s="14" t="s">
        <v>74</v>
      </c>
      <c r="C321" s="14" t="s">
        <v>306</v>
      </c>
      <c r="D321" s="14" t="s">
        <v>307</v>
      </c>
      <c r="E321" s="14" t="s">
        <v>308</v>
      </c>
      <c r="F321" s="16" t="n">
        <v>249.99</v>
      </c>
      <c r="G321" s="14" t="s">
        <v>309</v>
      </c>
      <c r="H321" s="14" t="s">
        <v>668</v>
      </c>
    </row>
    <row r="322" customFormat="false" ht="15" hidden="false" customHeight="false" outlineLevel="0" collapsed="false">
      <c r="A322" s="9" t="s">
        <v>140</v>
      </c>
      <c r="B322" s="9" t="s">
        <v>74</v>
      </c>
      <c r="C322" s="9" t="s">
        <v>306</v>
      </c>
      <c r="D322" s="9" t="s">
        <v>307</v>
      </c>
      <c r="E322" s="9" t="s">
        <v>308</v>
      </c>
      <c r="F322" s="11" t="n">
        <v>249.99</v>
      </c>
      <c r="G322" s="9" t="s">
        <v>309</v>
      </c>
      <c r="H322" s="9" t="s">
        <v>669</v>
      </c>
    </row>
    <row r="323" customFormat="false" ht="15" hidden="false" customHeight="false" outlineLevel="0" collapsed="false">
      <c r="A323" s="14" t="s">
        <v>140</v>
      </c>
      <c r="B323" s="14" t="s">
        <v>74</v>
      </c>
      <c r="C323" s="14" t="s">
        <v>306</v>
      </c>
      <c r="D323" s="14" t="s">
        <v>307</v>
      </c>
      <c r="E323" s="14" t="s">
        <v>308</v>
      </c>
      <c r="F323" s="16" t="n">
        <v>252.68</v>
      </c>
      <c r="G323" s="14" t="s">
        <v>309</v>
      </c>
      <c r="H323" s="14" t="s">
        <v>670</v>
      </c>
    </row>
    <row r="324" customFormat="false" ht="15" hidden="false" customHeight="false" outlineLevel="0" collapsed="false">
      <c r="A324" s="9" t="s">
        <v>140</v>
      </c>
      <c r="B324" s="9" t="s">
        <v>74</v>
      </c>
      <c r="C324" s="9" t="s">
        <v>369</v>
      </c>
      <c r="D324" s="9" t="s">
        <v>53</v>
      </c>
      <c r="E324" s="9" t="s">
        <v>308</v>
      </c>
      <c r="F324" s="11" t="n">
        <v>259.99</v>
      </c>
      <c r="G324" s="9" t="s">
        <v>309</v>
      </c>
      <c r="H324" s="9" t="s">
        <v>671</v>
      </c>
    </row>
    <row r="325" customFormat="false" ht="15" hidden="false" customHeight="false" outlineLevel="0" collapsed="false">
      <c r="A325" s="14" t="s">
        <v>140</v>
      </c>
      <c r="B325" s="14" t="s">
        <v>74</v>
      </c>
      <c r="C325" s="14" t="s">
        <v>369</v>
      </c>
      <c r="D325" s="14" t="s">
        <v>53</v>
      </c>
      <c r="E325" s="14" t="s">
        <v>308</v>
      </c>
      <c r="F325" s="16" t="n">
        <v>268.95</v>
      </c>
      <c r="G325" s="14" t="s">
        <v>309</v>
      </c>
      <c r="H325" s="14" t="s">
        <v>672</v>
      </c>
    </row>
    <row r="326" customFormat="false" ht="15" hidden="false" customHeight="false" outlineLevel="0" collapsed="false">
      <c r="A326" s="9" t="s">
        <v>140</v>
      </c>
      <c r="B326" s="9" t="s">
        <v>74</v>
      </c>
      <c r="C326" s="9" t="s">
        <v>330</v>
      </c>
      <c r="D326" s="9" t="s">
        <v>48</v>
      </c>
      <c r="E326" s="9" t="s">
        <v>308</v>
      </c>
      <c r="F326" s="11" t="n">
        <v>271.67</v>
      </c>
      <c r="G326" s="9" t="s">
        <v>309</v>
      </c>
      <c r="H326" s="9" t="s">
        <v>673</v>
      </c>
    </row>
    <row r="327" customFormat="false" ht="15" hidden="false" customHeight="false" outlineLevel="0" collapsed="false">
      <c r="A327" s="14" t="s">
        <v>140</v>
      </c>
      <c r="B327" s="14" t="s">
        <v>74</v>
      </c>
      <c r="C327" s="14" t="s">
        <v>311</v>
      </c>
      <c r="D327" s="14" t="s">
        <v>41</v>
      </c>
      <c r="E327" s="14" t="s">
        <v>308</v>
      </c>
      <c r="F327" s="16" t="n">
        <v>278.55</v>
      </c>
      <c r="G327" s="14" t="s">
        <v>309</v>
      </c>
      <c r="H327" s="14" t="s">
        <v>674</v>
      </c>
    </row>
    <row r="328" customFormat="false" ht="15" hidden="false" customHeight="false" outlineLevel="0" collapsed="false">
      <c r="A328" s="9" t="s">
        <v>140</v>
      </c>
      <c r="B328" s="9" t="s">
        <v>74</v>
      </c>
      <c r="C328" s="9" t="s">
        <v>330</v>
      </c>
      <c r="D328" s="9" t="s">
        <v>48</v>
      </c>
      <c r="E328" s="9" t="s">
        <v>308</v>
      </c>
      <c r="F328" s="11" t="n">
        <v>284.99</v>
      </c>
      <c r="G328" s="9" t="s">
        <v>309</v>
      </c>
      <c r="H328" s="9" t="s">
        <v>675</v>
      </c>
    </row>
    <row r="329" customFormat="false" ht="15" hidden="false" customHeight="false" outlineLevel="0" collapsed="false">
      <c r="A329" s="14" t="s">
        <v>140</v>
      </c>
      <c r="B329" s="14" t="s">
        <v>74</v>
      </c>
      <c r="C329" s="14" t="s">
        <v>306</v>
      </c>
      <c r="D329" s="14" t="s">
        <v>307</v>
      </c>
      <c r="E329" s="14" t="s">
        <v>308</v>
      </c>
      <c r="F329" s="16" t="n">
        <v>599.99</v>
      </c>
      <c r="G329" s="14" t="s">
        <v>676</v>
      </c>
      <c r="H329" s="14" t="s">
        <v>677</v>
      </c>
    </row>
    <row r="330" customFormat="false" ht="15" hidden="false" customHeight="false" outlineLevel="0" collapsed="false">
      <c r="A330" s="9" t="s">
        <v>146</v>
      </c>
      <c r="B330" s="9" t="s">
        <v>40</v>
      </c>
      <c r="C330" s="9" t="s">
        <v>369</v>
      </c>
      <c r="D330" s="9" t="s">
        <v>53</v>
      </c>
      <c r="E330" s="9" t="s">
        <v>308</v>
      </c>
      <c r="F330" s="11" t="n">
        <v>400</v>
      </c>
      <c r="G330" s="9" t="s">
        <v>678</v>
      </c>
      <c r="H330" s="9" t="s">
        <v>679</v>
      </c>
    </row>
    <row r="331" customFormat="false" ht="15" hidden="false" customHeight="false" outlineLevel="0" collapsed="false">
      <c r="A331" s="14" t="s">
        <v>146</v>
      </c>
      <c r="B331" s="14" t="s">
        <v>40</v>
      </c>
      <c r="C331" s="14" t="s">
        <v>369</v>
      </c>
      <c r="D331" s="14" t="s">
        <v>53</v>
      </c>
      <c r="E331" s="14" t="s">
        <v>308</v>
      </c>
      <c r="F331" s="16" t="n">
        <v>400</v>
      </c>
      <c r="G331" s="14" t="s">
        <v>680</v>
      </c>
      <c r="H331" s="14" t="s">
        <v>681</v>
      </c>
    </row>
    <row r="332" customFormat="false" ht="15" hidden="false" customHeight="false" outlineLevel="0" collapsed="false">
      <c r="A332" s="9" t="s">
        <v>146</v>
      </c>
      <c r="B332" s="9" t="s">
        <v>47</v>
      </c>
      <c r="C332" s="9" t="s">
        <v>369</v>
      </c>
      <c r="D332" s="9" t="s">
        <v>53</v>
      </c>
      <c r="E332" s="9" t="s">
        <v>308</v>
      </c>
      <c r="F332" s="11" t="n">
        <v>300</v>
      </c>
      <c r="G332" s="9" t="s">
        <v>498</v>
      </c>
      <c r="H332" s="9" t="s">
        <v>682</v>
      </c>
    </row>
    <row r="333" customFormat="false" ht="15" hidden="false" customHeight="false" outlineLevel="0" collapsed="false">
      <c r="A333" s="14" t="s">
        <v>146</v>
      </c>
      <c r="B333" s="14" t="s">
        <v>74</v>
      </c>
      <c r="C333" s="14" t="s">
        <v>306</v>
      </c>
      <c r="D333" s="14" t="s">
        <v>307</v>
      </c>
      <c r="E333" s="14" t="s">
        <v>317</v>
      </c>
      <c r="F333" s="16" t="n">
        <v>123</v>
      </c>
      <c r="G333" s="14" t="s">
        <v>309</v>
      </c>
      <c r="H333" s="14" t="s">
        <v>683</v>
      </c>
    </row>
    <row r="334" customFormat="false" ht="15" hidden="false" customHeight="false" outlineLevel="0" collapsed="false">
      <c r="A334" s="9" t="s">
        <v>146</v>
      </c>
      <c r="B334" s="9" t="s">
        <v>74</v>
      </c>
      <c r="C334" s="9" t="s">
        <v>306</v>
      </c>
      <c r="D334" s="9" t="s">
        <v>307</v>
      </c>
      <c r="E334" s="9" t="s">
        <v>308</v>
      </c>
      <c r="F334" s="11" t="n">
        <v>168.31</v>
      </c>
      <c r="G334" s="9" t="s">
        <v>309</v>
      </c>
      <c r="H334" s="9" t="s">
        <v>684</v>
      </c>
    </row>
    <row r="335" customFormat="false" ht="15" hidden="false" customHeight="false" outlineLevel="0" collapsed="false">
      <c r="A335" s="14" t="s">
        <v>146</v>
      </c>
      <c r="B335" s="14" t="s">
        <v>74</v>
      </c>
      <c r="C335" s="14" t="s">
        <v>306</v>
      </c>
      <c r="D335" s="14" t="s">
        <v>307</v>
      </c>
      <c r="E335" s="14" t="s">
        <v>308</v>
      </c>
      <c r="F335" s="16" t="n">
        <v>168.31</v>
      </c>
      <c r="G335" s="14" t="s">
        <v>309</v>
      </c>
      <c r="H335" s="14" t="s">
        <v>685</v>
      </c>
    </row>
    <row r="336" customFormat="false" ht="15" hidden="false" customHeight="false" outlineLevel="0" collapsed="false">
      <c r="A336" s="9" t="s">
        <v>146</v>
      </c>
      <c r="B336" s="9" t="s">
        <v>74</v>
      </c>
      <c r="C336" s="9" t="s">
        <v>306</v>
      </c>
      <c r="D336" s="9" t="s">
        <v>307</v>
      </c>
      <c r="E336" s="9" t="s">
        <v>308</v>
      </c>
      <c r="F336" s="11" t="n">
        <v>169.99</v>
      </c>
      <c r="G336" s="9" t="s">
        <v>309</v>
      </c>
      <c r="H336" s="9" t="s">
        <v>686</v>
      </c>
    </row>
    <row r="337" customFormat="false" ht="15" hidden="false" customHeight="false" outlineLevel="0" collapsed="false">
      <c r="A337" s="14" t="s">
        <v>146</v>
      </c>
      <c r="B337" s="14" t="s">
        <v>74</v>
      </c>
      <c r="C337" s="14" t="s">
        <v>306</v>
      </c>
      <c r="D337" s="14" t="s">
        <v>307</v>
      </c>
      <c r="E337" s="14" t="s">
        <v>308</v>
      </c>
      <c r="F337" s="16" t="n">
        <v>190</v>
      </c>
      <c r="G337" s="14" t="s">
        <v>309</v>
      </c>
      <c r="H337" s="14" t="s">
        <v>687</v>
      </c>
    </row>
    <row r="338" customFormat="false" ht="15" hidden="false" customHeight="false" outlineLevel="0" collapsed="false">
      <c r="A338" s="9" t="s">
        <v>146</v>
      </c>
      <c r="B338" s="9" t="s">
        <v>74</v>
      </c>
      <c r="C338" s="9" t="s">
        <v>306</v>
      </c>
      <c r="D338" s="9" t="s">
        <v>307</v>
      </c>
      <c r="E338" s="9" t="s">
        <v>308</v>
      </c>
      <c r="F338" s="11" t="n">
        <v>199.99</v>
      </c>
      <c r="G338" s="9" t="s">
        <v>309</v>
      </c>
      <c r="H338" s="9" t="s">
        <v>688</v>
      </c>
    </row>
    <row r="339" customFormat="false" ht="15" hidden="false" customHeight="false" outlineLevel="0" collapsed="false">
      <c r="A339" s="14" t="s">
        <v>146</v>
      </c>
      <c r="B339" s="14" t="s">
        <v>74</v>
      </c>
      <c r="C339" s="14" t="s">
        <v>369</v>
      </c>
      <c r="D339" s="14" t="s">
        <v>53</v>
      </c>
      <c r="E339" s="14" t="s">
        <v>308</v>
      </c>
      <c r="F339" s="16" t="n">
        <v>220.79</v>
      </c>
      <c r="G339" s="14" t="s">
        <v>309</v>
      </c>
      <c r="H339" s="14" t="s">
        <v>689</v>
      </c>
    </row>
    <row r="340" customFormat="false" ht="15" hidden="false" customHeight="false" outlineLevel="0" collapsed="false">
      <c r="A340" s="9" t="s">
        <v>146</v>
      </c>
      <c r="B340" s="9" t="s">
        <v>74</v>
      </c>
      <c r="C340" s="9" t="s">
        <v>306</v>
      </c>
      <c r="D340" s="9" t="s">
        <v>307</v>
      </c>
      <c r="E340" s="9" t="s">
        <v>308</v>
      </c>
      <c r="F340" s="11" t="n">
        <v>228.99</v>
      </c>
      <c r="G340" s="9" t="s">
        <v>309</v>
      </c>
      <c r="H340" s="9" t="s">
        <v>690</v>
      </c>
    </row>
    <row r="341" customFormat="false" ht="15" hidden="false" customHeight="false" outlineLevel="0" collapsed="false">
      <c r="A341" s="14" t="s">
        <v>150</v>
      </c>
      <c r="B341" s="14" t="s">
        <v>47</v>
      </c>
      <c r="C341" s="14" t="s">
        <v>306</v>
      </c>
      <c r="D341" s="14" t="s">
        <v>307</v>
      </c>
      <c r="E341" s="14" t="s">
        <v>308</v>
      </c>
      <c r="F341" s="16" t="n">
        <v>200</v>
      </c>
      <c r="G341" s="14" t="s">
        <v>309</v>
      </c>
      <c r="H341" s="14" t="s">
        <v>691</v>
      </c>
    </row>
    <row r="342" customFormat="false" ht="15" hidden="false" customHeight="false" outlineLevel="0" collapsed="false">
      <c r="A342" s="9" t="s">
        <v>150</v>
      </c>
      <c r="B342" s="9" t="s">
        <v>47</v>
      </c>
      <c r="C342" s="9" t="s">
        <v>306</v>
      </c>
      <c r="D342" s="9" t="s">
        <v>307</v>
      </c>
      <c r="E342" s="9" t="s">
        <v>308</v>
      </c>
      <c r="F342" s="11" t="n">
        <v>250</v>
      </c>
      <c r="G342" s="9" t="s">
        <v>429</v>
      </c>
      <c r="H342" s="9" t="s">
        <v>692</v>
      </c>
    </row>
    <row r="343" customFormat="false" ht="15" hidden="false" customHeight="false" outlineLevel="0" collapsed="false">
      <c r="A343" s="14" t="s">
        <v>150</v>
      </c>
      <c r="B343" s="14" t="s">
        <v>47</v>
      </c>
      <c r="C343" s="14" t="s">
        <v>306</v>
      </c>
      <c r="D343" s="14" t="s">
        <v>307</v>
      </c>
      <c r="E343" s="14" t="s">
        <v>308</v>
      </c>
      <c r="F343" s="16" t="n">
        <v>295</v>
      </c>
      <c r="G343" s="14" t="s">
        <v>309</v>
      </c>
      <c r="H343" s="14" t="s">
        <v>693</v>
      </c>
    </row>
    <row r="344" customFormat="false" ht="15" hidden="false" customHeight="false" outlineLevel="0" collapsed="false">
      <c r="A344" s="9" t="s">
        <v>150</v>
      </c>
      <c r="B344" s="9" t="s">
        <v>47</v>
      </c>
      <c r="C344" s="9" t="s">
        <v>330</v>
      </c>
      <c r="D344" s="9" t="s">
        <v>48</v>
      </c>
      <c r="E344" s="9" t="s">
        <v>57</v>
      </c>
      <c r="F344" s="11" t="n">
        <v>344</v>
      </c>
      <c r="G344" s="9" t="s">
        <v>694</v>
      </c>
      <c r="H344" s="9" t="s">
        <v>695</v>
      </c>
    </row>
    <row r="345" customFormat="false" ht="15" hidden="false" customHeight="false" outlineLevel="0" collapsed="false">
      <c r="A345" s="14" t="s">
        <v>150</v>
      </c>
      <c r="B345" s="14" t="s">
        <v>74</v>
      </c>
      <c r="C345" s="14" t="s">
        <v>306</v>
      </c>
      <c r="D345" s="14" t="s">
        <v>307</v>
      </c>
      <c r="E345" s="14" t="s">
        <v>308</v>
      </c>
      <c r="F345" s="16" t="n">
        <v>157.5</v>
      </c>
      <c r="G345" s="14" t="s">
        <v>309</v>
      </c>
      <c r="H345" s="14" t="s">
        <v>696</v>
      </c>
    </row>
    <row r="346" customFormat="false" ht="15" hidden="false" customHeight="false" outlineLevel="0" collapsed="false">
      <c r="A346" s="9" t="s">
        <v>150</v>
      </c>
      <c r="B346" s="9" t="s">
        <v>74</v>
      </c>
      <c r="C346" s="9" t="s">
        <v>306</v>
      </c>
      <c r="D346" s="9" t="s">
        <v>307</v>
      </c>
      <c r="E346" s="9" t="s">
        <v>308</v>
      </c>
      <c r="F346" s="11" t="n">
        <v>232.5</v>
      </c>
      <c r="G346" s="9" t="s">
        <v>309</v>
      </c>
      <c r="H346" s="9" t="s">
        <v>697</v>
      </c>
    </row>
    <row r="347" customFormat="false" ht="15" hidden="false" customHeight="false" outlineLevel="0" collapsed="false">
      <c r="A347" s="14" t="s">
        <v>150</v>
      </c>
      <c r="B347" s="14" t="s">
        <v>74</v>
      </c>
      <c r="C347" s="14" t="s">
        <v>306</v>
      </c>
      <c r="D347" s="14" t="s">
        <v>307</v>
      </c>
      <c r="E347" s="14" t="s">
        <v>308</v>
      </c>
      <c r="F347" s="16" t="n">
        <v>249.99</v>
      </c>
      <c r="G347" s="14" t="s">
        <v>309</v>
      </c>
      <c r="H347" s="14" t="s">
        <v>698</v>
      </c>
    </row>
    <row r="348" customFormat="false" ht="15" hidden="false" customHeight="false" outlineLevel="0" collapsed="false">
      <c r="A348" s="9" t="s">
        <v>150</v>
      </c>
      <c r="B348" s="9" t="s">
        <v>74</v>
      </c>
      <c r="C348" s="9" t="s">
        <v>306</v>
      </c>
      <c r="D348" s="9" t="s">
        <v>307</v>
      </c>
      <c r="E348" s="9" t="s">
        <v>42</v>
      </c>
      <c r="F348" s="11" t="n">
        <v>250</v>
      </c>
      <c r="G348" s="9" t="s">
        <v>309</v>
      </c>
      <c r="H348" s="9" t="s">
        <v>699</v>
      </c>
    </row>
    <row r="349" customFormat="false" ht="15" hidden="false" customHeight="false" outlineLevel="0" collapsed="false">
      <c r="A349" s="14" t="s">
        <v>150</v>
      </c>
      <c r="B349" s="14" t="s">
        <v>74</v>
      </c>
      <c r="C349" s="14" t="s">
        <v>306</v>
      </c>
      <c r="D349" s="14" t="s">
        <v>307</v>
      </c>
      <c r="E349" s="14" t="s">
        <v>346</v>
      </c>
      <c r="F349" s="16" t="n">
        <v>250</v>
      </c>
      <c r="G349" s="14" t="s">
        <v>309</v>
      </c>
      <c r="H349" s="14" t="s">
        <v>700</v>
      </c>
    </row>
    <row r="350" customFormat="false" ht="15" hidden="false" customHeight="false" outlineLevel="0" collapsed="false">
      <c r="A350" s="9" t="s">
        <v>150</v>
      </c>
      <c r="B350" s="9" t="s">
        <v>74</v>
      </c>
      <c r="C350" s="9" t="s">
        <v>330</v>
      </c>
      <c r="D350" s="9" t="s">
        <v>48</v>
      </c>
      <c r="E350" s="9" t="s">
        <v>308</v>
      </c>
      <c r="F350" s="11" t="n">
        <v>324.48</v>
      </c>
      <c r="G350" s="9" t="s">
        <v>309</v>
      </c>
      <c r="H350" s="9" t="s">
        <v>701</v>
      </c>
    </row>
    <row r="351" customFormat="false" ht="15" hidden="false" customHeight="false" outlineLevel="0" collapsed="false">
      <c r="A351" s="14" t="s">
        <v>150</v>
      </c>
      <c r="B351" s="14" t="s">
        <v>74</v>
      </c>
      <c r="C351" s="14" t="s">
        <v>330</v>
      </c>
      <c r="D351" s="14" t="s">
        <v>48</v>
      </c>
      <c r="E351" s="14" t="s">
        <v>308</v>
      </c>
      <c r="F351" s="16" t="n">
        <v>336.99</v>
      </c>
      <c r="G351" s="14" t="s">
        <v>309</v>
      </c>
      <c r="H351" s="14" t="s">
        <v>702</v>
      </c>
    </row>
    <row r="352" customFormat="false" ht="15" hidden="false" customHeight="false" outlineLevel="0" collapsed="false">
      <c r="A352" s="9" t="s">
        <v>150</v>
      </c>
      <c r="B352" s="9" t="s">
        <v>74</v>
      </c>
      <c r="C352" s="9" t="s">
        <v>330</v>
      </c>
      <c r="D352" s="9" t="s">
        <v>48</v>
      </c>
      <c r="E352" s="9" t="s">
        <v>308</v>
      </c>
      <c r="F352" s="11" t="n">
        <v>349.99</v>
      </c>
      <c r="G352" s="9" t="s">
        <v>309</v>
      </c>
      <c r="H352" s="9" t="s">
        <v>703</v>
      </c>
    </row>
    <row r="353" customFormat="false" ht="15" hidden="false" customHeight="false" outlineLevel="0" collapsed="false">
      <c r="A353" s="14" t="s">
        <v>150</v>
      </c>
      <c r="B353" s="14" t="s">
        <v>74</v>
      </c>
      <c r="C353" s="14" t="s">
        <v>306</v>
      </c>
      <c r="D353" s="14" t="s">
        <v>307</v>
      </c>
      <c r="E353" s="14" t="s">
        <v>308</v>
      </c>
      <c r="F353" s="16" t="n">
        <v>350</v>
      </c>
      <c r="G353" s="14" t="s">
        <v>678</v>
      </c>
      <c r="H353" s="14" t="s">
        <v>704</v>
      </c>
    </row>
    <row r="354" customFormat="false" ht="15" hidden="false" customHeight="false" outlineLevel="0" collapsed="false">
      <c r="A354" s="9" t="s">
        <v>705</v>
      </c>
      <c r="B354" s="9" t="s">
        <v>74</v>
      </c>
      <c r="C354" s="9" t="s">
        <v>306</v>
      </c>
      <c r="D354" s="9" t="s">
        <v>307</v>
      </c>
      <c r="E354" s="9" t="s">
        <v>308</v>
      </c>
      <c r="F354" s="11" t="n">
        <v>190</v>
      </c>
      <c r="G354" s="9" t="s">
        <v>309</v>
      </c>
      <c r="H354" s="9" t="s">
        <v>706</v>
      </c>
    </row>
    <row r="355" customFormat="false" ht="15" hidden="false" customHeight="false" outlineLevel="0" collapsed="false">
      <c r="A355" s="14" t="s">
        <v>705</v>
      </c>
      <c r="B355" s="14" t="s">
        <v>74</v>
      </c>
      <c r="C355" s="14" t="s">
        <v>306</v>
      </c>
      <c r="D355" s="14" t="s">
        <v>307</v>
      </c>
      <c r="E355" s="14" t="s">
        <v>42</v>
      </c>
      <c r="F355" s="16" t="n">
        <v>226.28</v>
      </c>
      <c r="G355" s="14" t="s">
        <v>707</v>
      </c>
      <c r="H355" s="14" t="s">
        <v>708</v>
      </c>
    </row>
    <row r="356" customFormat="false" ht="15" hidden="false" customHeight="false" outlineLevel="0" collapsed="false">
      <c r="A356" s="9" t="s">
        <v>705</v>
      </c>
      <c r="B356" s="9" t="s">
        <v>74</v>
      </c>
      <c r="C356" s="9" t="s">
        <v>311</v>
      </c>
      <c r="D356" s="9" t="s">
        <v>41</v>
      </c>
      <c r="E356" s="9" t="s">
        <v>308</v>
      </c>
      <c r="F356" s="11" t="n">
        <v>254.89</v>
      </c>
      <c r="G356" s="9" t="s">
        <v>309</v>
      </c>
      <c r="H356" s="9" t="s">
        <v>709</v>
      </c>
    </row>
    <row r="357" customFormat="false" ht="15" hidden="false" customHeight="false" outlineLevel="0" collapsed="false">
      <c r="A357" s="14" t="s">
        <v>705</v>
      </c>
      <c r="B357" s="14" t="s">
        <v>74</v>
      </c>
      <c r="C357" s="14" t="s">
        <v>306</v>
      </c>
      <c r="D357" s="14" t="s">
        <v>307</v>
      </c>
      <c r="E357" s="14" t="s">
        <v>308</v>
      </c>
      <c r="F357" s="16" t="n">
        <v>285.99</v>
      </c>
      <c r="G357" s="14" t="s">
        <v>309</v>
      </c>
      <c r="H357" s="14" t="s">
        <v>710</v>
      </c>
    </row>
    <row r="358" customFormat="false" ht="15" hidden="false" customHeight="false" outlineLevel="0" collapsed="false">
      <c r="A358" s="9" t="s">
        <v>153</v>
      </c>
      <c r="B358" s="9" t="s">
        <v>47</v>
      </c>
      <c r="C358" s="9" t="s">
        <v>369</v>
      </c>
      <c r="D358" s="9" t="s">
        <v>53</v>
      </c>
      <c r="E358" s="9" t="s">
        <v>308</v>
      </c>
      <c r="F358" s="11" t="n">
        <v>250</v>
      </c>
      <c r="G358" s="9" t="s">
        <v>498</v>
      </c>
      <c r="H358" s="9" t="s">
        <v>711</v>
      </c>
    </row>
    <row r="359" customFormat="false" ht="15" hidden="false" customHeight="false" outlineLevel="0" collapsed="false">
      <c r="A359" s="14" t="s">
        <v>153</v>
      </c>
      <c r="B359" s="14" t="s">
        <v>47</v>
      </c>
      <c r="C359" s="14" t="s">
        <v>369</v>
      </c>
      <c r="D359" s="14" t="s">
        <v>53</v>
      </c>
      <c r="E359" s="14" t="s">
        <v>308</v>
      </c>
      <c r="F359" s="16" t="n">
        <v>250</v>
      </c>
      <c r="G359" s="14" t="s">
        <v>680</v>
      </c>
      <c r="H359" s="14" t="s">
        <v>712</v>
      </c>
    </row>
    <row r="360" customFormat="false" ht="15" hidden="false" customHeight="false" outlineLevel="0" collapsed="false">
      <c r="A360" s="9" t="s">
        <v>153</v>
      </c>
      <c r="B360" s="9" t="s">
        <v>74</v>
      </c>
      <c r="C360" s="9" t="s">
        <v>306</v>
      </c>
      <c r="D360" s="9" t="s">
        <v>307</v>
      </c>
      <c r="E360" s="9" t="s">
        <v>308</v>
      </c>
      <c r="F360" s="11" t="n">
        <v>149.99</v>
      </c>
      <c r="G360" s="9" t="s">
        <v>309</v>
      </c>
      <c r="H360" s="9" t="s">
        <v>713</v>
      </c>
    </row>
    <row r="361" customFormat="false" ht="15" hidden="false" customHeight="false" outlineLevel="0" collapsed="false">
      <c r="A361" s="14" t="s">
        <v>153</v>
      </c>
      <c r="B361" s="14" t="s">
        <v>74</v>
      </c>
      <c r="C361" s="14" t="s">
        <v>306</v>
      </c>
      <c r="D361" s="14" t="s">
        <v>307</v>
      </c>
      <c r="E361" s="14" t="s">
        <v>308</v>
      </c>
      <c r="F361" s="16" t="n">
        <v>199.99</v>
      </c>
      <c r="G361" s="14" t="s">
        <v>309</v>
      </c>
      <c r="H361" s="14" t="s">
        <v>714</v>
      </c>
    </row>
    <row r="362" customFormat="false" ht="15" hidden="false" customHeight="false" outlineLevel="0" collapsed="false">
      <c r="A362" s="9" t="s">
        <v>153</v>
      </c>
      <c r="B362" s="9" t="s">
        <v>74</v>
      </c>
      <c r="C362" s="9" t="s">
        <v>369</v>
      </c>
      <c r="D362" s="9" t="s">
        <v>53</v>
      </c>
      <c r="E362" s="9" t="s">
        <v>308</v>
      </c>
      <c r="F362" s="11" t="n">
        <v>225</v>
      </c>
      <c r="G362" s="9" t="s">
        <v>715</v>
      </c>
      <c r="H362" s="9" t="s">
        <v>716</v>
      </c>
    </row>
    <row r="363" customFormat="false" ht="15" hidden="false" customHeight="false" outlineLevel="0" collapsed="false">
      <c r="A363" s="14" t="s">
        <v>153</v>
      </c>
      <c r="B363" s="14" t="s">
        <v>74</v>
      </c>
      <c r="C363" s="14" t="s">
        <v>369</v>
      </c>
      <c r="D363" s="14" t="s">
        <v>53</v>
      </c>
      <c r="E363" s="14" t="s">
        <v>308</v>
      </c>
      <c r="F363" s="16" t="n">
        <v>250</v>
      </c>
      <c r="G363" s="14" t="s">
        <v>594</v>
      </c>
      <c r="H363" s="14" t="s">
        <v>717</v>
      </c>
    </row>
    <row r="364" customFormat="false" ht="15" hidden="false" customHeight="false" outlineLevel="0" collapsed="false">
      <c r="A364" s="9" t="s">
        <v>153</v>
      </c>
      <c r="B364" s="9" t="s">
        <v>154</v>
      </c>
      <c r="C364" s="9" t="s">
        <v>306</v>
      </c>
      <c r="D364" s="9" t="s">
        <v>307</v>
      </c>
      <c r="E364" s="9" t="s">
        <v>317</v>
      </c>
      <c r="F364" s="11" t="n">
        <v>84.99</v>
      </c>
      <c r="G364" s="9" t="s">
        <v>309</v>
      </c>
      <c r="H364" s="9" t="s">
        <v>718</v>
      </c>
    </row>
    <row r="365" customFormat="false" ht="15" hidden="false" customHeight="false" outlineLevel="0" collapsed="false">
      <c r="A365" s="14" t="s">
        <v>153</v>
      </c>
      <c r="B365" s="14" t="s">
        <v>154</v>
      </c>
      <c r="C365" s="14" t="s">
        <v>306</v>
      </c>
      <c r="D365" s="14" t="s">
        <v>307</v>
      </c>
      <c r="E365" s="14" t="s">
        <v>308</v>
      </c>
      <c r="F365" s="16" t="n">
        <v>100</v>
      </c>
      <c r="G365" s="14" t="s">
        <v>309</v>
      </c>
      <c r="H365" s="14" t="s">
        <v>719</v>
      </c>
    </row>
    <row r="366" customFormat="false" ht="15" hidden="false" customHeight="false" outlineLevel="0" collapsed="false">
      <c r="A366" s="9" t="s">
        <v>153</v>
      </c>
      <c r="B366" s="9" t="s">
        <v>154</v>
      </c>
      <c r="C366" s="9" t="s">
        <v>306</v>
      </c>
      <c r="D366" s="9" t="s">
        <v>307</v>
      </c>
      <c r="E366" s="9" t="s">
        <v>308</v>
      </c>
      <c r="F366" s="11" t="n">
        <v>109.99</v>
      </c>
      <c r="G366" s="9" t="s">
        <v>309</v>
      </c>
      <c r="H366" s="9" t="s">
        <v>720</v>
      </c>
    </row>
    <row r="367" customFormat="false" ht="15" hidden="false" customHeight="false" outlineLevel="0" collapsed="false">
      <c r="A367" s="14" t="s">
        <v>153</v>
      </c>
      <c r="B367" s="14" t="s">
        <v>154</v>
      </c>
      <c r="C367" s="14" t="s">
        <v>306</v>
      </c>
      <c r="D367" s="14" t="s">
        <v>307</v>
      </c>
      <c r="E367" s="14" t="s">
        <v>308</v>
      </c>
      <c r="F367" s="16" t="n">
        <v>124.99</v>
      </c>
      <c r="G367" s="14" t="s">
        <v>309</v>
      </c>
      <c r="H367" s="14" t="s">
        <v>721</v>
      </c>
    </row>
    <row r="368" customFormat="false" ht="15" hidden="false" customHeight="false" outlineLevel="0" collapsed="false">
      <c r="A368" s="9" t="s">
        <v>153</v>
      </c>
      <c r="B368" s="9" t="s">
        <v>154</v>
      </c>
      <c r="C368" s="9" t="s">
        <v>306</v>
      </c>
      <c r="D368" s="9" t="s">
        <v>307</v>
      </c>
      <c r="E368" s="9" t="s">
        <v>42</v>
      </c>
      <c r="F368" s="11" t="n">
        <v>129.99</v>
      </c>
      <c r="G368" s="9" t="s">
        <v>309</v>
      </c>
      <c r="H368" s="9" t="s">
        <v>722</v>
      </c>
    </row>
    <row r="369" customFormat="false" ht="15" hidden="false" customHeight="false" outlineLevel="0" collapsed="false">
      <c r="A369" s="14" t="s">
        <v>153</v>
      </c>
      <c r="B369" s="14" t="s">
        <v>154</v>
      </c>
      <c r="C369" s="14" t="s">
        <v>306</v>
      </c>
      <c r="D369" s="14" t="s">
        <v>307</v>
      </c>
      <c r="E369" s="14" t="s">
        <v>335</v>
      </c>
      <c r="F369" s="16" t="n">
        <v>130</v>
      </c>
      <c r="G369" s="14" t="s">
        <v>309</v>
      </c>
      <c r="H369" s="14" t="s">
        <v>723</v>
      </c>
    </row>
    <row r="370" customFormat="false" ht="15" hidden="false" customHeight="false" outlineLevel="0" collapsed="false">
      <c r="A370" s="9" t="s">
        <v>153</v>
      </c>
      <c r="B370" s="9" t="s">
        <v>154</v>
      </c>
      <c r="C370" s="9" t="s">
        <v>306</v>
      </c>
      <c r="D370" s="9" t="s">
        <v>307</v>
      </c>
      <c r="E370" s="9" t="s">
        <v>308</v>
      </c>
      <c r="F370" s="11" t="n">
        <v>132</v>
      </c>
      <c r="G370" s="9" t="s">
        <v>309</v>
      </c>
      <c r="H370" s="9" t="s">
        <v>724</v>
      </c>
    </row>
    <row r="371" customFormat="false" ht="15" hidden="false" customHeight="false" outlineLevel="0" collapsed="false">
      <c r="A371" s="14" t="s">
        <v>153</v>
      </c>
      <c r="B371" s="14" t="s">
        <v>154</v>
      </c>
      <c r="C371" s="14" t="s">
        <v>306</v>
      </c>
      <c r="D371" s="14" t="s">
        <v>307</v>
      </c>
      <c r="E371" s="14" t="s">
        <v>308</v>
      </c>
      <c r="F371" s="16" t="n">
        <v>136</v>
      </c>
      <c r="G371" s="14" t="s">
        <v>309</v>
      </c>
      <c r="H371" s="14" t="s">
        <v>724</v>
      </c>
    </row>
    <row r="372" customFormat="false" ht="15" hidden="false" customHeight="false" outlineLevel="0" collapsed="false">
      <c r="A372" s="9" t="s">
        <v>153</v>
      </c>
      <c r="B372" s="9" t="s">
        <v>154</v>
      </c>
      <c r="C372" s="9" t="s">
        <v>306</v>
      </c>
      <c r="D372" s="9" t="s">
        <v>307</v>
      </c>
      <c r="E372" s="9" t="s">
        <v>308</v>
      </c>
      <c r="F372" s="11" t="n">
        <v>139</v>
      </c>
      <c r="G372" s="9" t="s">
        <v>309</v>
      </c>
      <c r="H372" s="9" t="s">
        <v>725</v>
      </c>
    </row>
    <row r="373" customFormat="false" ht="15" hidden="false" customHeight="false" outlineLevel="0" collapsed="false">
      <c r="A373" s="14" t="s">
        <v>153</v>
      </c>
      <c r="B373" s="14" t="s">
        <v>154</v>
      </c>
      <c r="C373" s="14" t="s">
        <v>306</v>
      </c>
      <c r="D373" s="14" t="s">
        <v>307</v>
      </c>
      <c r="E373" s="14" t="s">
        <v>335</v>
      </c>
      <c r="F373" s="16" t="n">
        <v>140</v>
      </c>
      <c r="G373" s="14" t="s">
        <v>309</v>
      </c>
      <c r="H373" s="14" t="s">
        <v>726</v>
      </c>
    </row>
    <row r="374" customFormat="false" ht="15" hidden="false" customHeight="false" outlineLevel="0" collapsed="false">
      <c r="A374" s="9" t="s">
        <v>153</v>
      </c>
      <c r="B374" s="9" t="s">
        <v>154</v>
      </c>
      <c r="C374" s="9" t="s">
        <v>306</v>
      </c>
      <c r="D374" s="9" t="s">
        <v>307</v>
      </c>
      <c r="E374" s="9" t="s">
        <v>308</v>
      </c>
      <c r="F374" s="11" t="n">
        <v>140.3</v>
      </c>
      <c r="G374" s="9" t="s">
        <v>309</v>
      </c>
      <c r="H374" s="9" t="s">
        <v>727</v>
      </c>
    </row>
    <row r="375" customFormat="false" ht="15" hidden="false" customHeight="false" outlineLevel="0" collapsed="false">
      <c r="A375" s="14" t="s">
        <v>153</v>
      </c>
      <c r="B375" s="14" t="s">
        <v>154</v>
      </c>
      <c r="C375" s="14" t="s">
        <v>306</v>
      </c>
      <c r="D375" s="14" t="s">
        <v>307</v>
      </c>
      <c r="E375" s="14" t="s">
        <v>308</v>
      </c>
      <c r="F375" s="16" t="n">
        <v>144.95</v>
      </c>
      <c r="G375" s="14" t="s">
        <v>309</v>
      </c>
      <c r="H375" s="14" t="s">
        <v>728</v>
      </c>
    </row>
    <row r="376" customFormat="false" ht="15" hidden="false" customHeight="false" outlineLevel="0" collapsed="false">
      <c r="A376" s="9" t="s">
        <v>153</v>
      </c>
      <c r="B376" s="9" t="s">
        <v>154</v>
      </c>
      <c r="C376" s="9" t="s">
        <v>306</v>
      </c>
      <c r="D376" s="9" t="s">
        <v>307</v>
      </c>
      <c r="E376" s="9" t="s">
        <v>308</v>
      </c>
      <c r="F376" s="11" t="n">
        <v>144.99</v>
      </c>
      <c r="G376" s="9" t="s">
        <v>309</v>
      </c>
      <c r="H376" s="9" t="s">
        <v>729</v>
      </c>
    </row>
    <row r="377" customFormat="false" ht="15" hidden="false" customHeight="false" outlineLevel="0" collapsed="false">
      <c r="A377" s="14" t="s">
        <v>153</v>
      </c>
      <c r="B377" s="14" t="s">
        <v>154</v>
      </c>
      <c r="C377" s="14" t="s">
        <v>306</v>
      </c>
      <c r="D377" s="14" t="s">
        <v>307</v>
      </c>
      <c r="E377" s="14" t="s">
        <v>308</v>
      </c>
      <c r="F377" s="16" t="n">
        <v>146</v>
      </c>
      <c r="G377" s="14" t="s">
        <v>309</v>
      </c>
      <c r="H377" s="14" t="s">
        <v>730</v>
      </c>
    </row>
    <row r="378" customFormat="false" ht="15" hidden="false" customHeight="false" outlineLevel="0" collapsed="false">
      <c r="A378" s="9" t="s">
        <v>153</v>
      </c>
      <c r="B378" s="9" t="s">
        <v>154</v>
      </c>
      <c r="C378" s="9" t="s">
        <v>306</v>
      </c>
      <c r="D378" s="9" t="s">
        <v>307</v>
      </c>
      <c r="E378" s="9" t="s">
        <v>308</v>
      </c>
      <c r="F378" s="11" t="n">
        <v>150</v>
      </c>
      <c r="G378" s="9" t="s">
        <v>309</v>
      </c>
      <c r="H378" s="9" t="s">
        <v>731</v>
      </c>
    </row>
    <row r="379" customFormat="false" ht="15" hidden="false" customHeight="false" outlineLevel="0" collapsed="false">
      <c r="A379" s="14" t="s">
        <v>153</v>
      </c>
      <c r="B379" s="14" t="s">
        <v>154</v>
      </c>
      <c r="C379" s="14" t="s">
        <v>306</v>
      </c>
      <c r="D379" s="14" t="s">
        <v>307</v>
      </c>
      <c r="E379" s="14" t="s">
        <v>308</v>
      </c>
      <c r="F379" s="16" t="n">
        <v>150</v>
      </c>
      <c r="G379" s="14" t="s">
        <v>309</v>
      </c>
      <c r="H379" s="14" t="s">
        <v>732</v>
      </c>
    </row>
    <row r="380" customFormat="false" ht="15" hidden="false" customHeight="false" outlineLevel="0" collapsed="false">
      <c r="A380" s="9" t="s">
        <v>153</v>
      </c>
      <c r="B380" s="9" t="s">
        <v>154</v>
      </c>
      <c r="C380" s="9" t="s">
        <v>306</v>
      </c>
      <c r="D380" s="9" t="s">
        <v>307</v>
      </c>
      <c r="E380" s="9" t="s">
        <v>308</v>
      </c>
      <c r="F380" s="11" t="n">
        <v>150.5</v>
      </c>
      <c r="G380" s="9" t="s">
        <v>309</v>
      </c>
      <c r="H380" s="9" t="s">
        <v>733</v>
      </c>
    </row>
    <row r="381" customFormat="false" ht="15" hidden="false" customHeight="false" outlineLevel="0" collapsed="false">
      <c r="A381" s="14" t="s">
        <v>153</v>
      </c>
      <c r="B381" s="14" t="s">
        <v>154</v>
      </c>
      <c r="C381" s="14" t="s">
        <v>306</v>
      </c>
      <c r="D381" s="14" t="s">
        <v>307</v>
      </c>
      <c r="E381" s="14" t="s">
        <v>335</v>
      </c>
      <c r="F381" s="16" t="n">
        <v>153.71</v>
      </c>
      <c r="G381" s="14" t="s">
        <v>734</v>
      </c>
      <c r="H381" s="14" t="s">
        <v>735</v>
      </c>
    </row>
    <row r="382" customFormat="false" ht="15" hidden="false" customHeight="false" outlineLevel="0" collapsed="false">
      <c r="A382" s="9" t="s">
        <v>153</v>
      </c>
      <c r="B382" s="9" t="s">
        <v>154</v>
      </c>
      <c r="C382" s="9" t="s">
        <v>306</v>
      </c>
      <c r="D382" s="9" t="s">
        <v>307</v>
      </c>
      <c r="E382" s="9" t="s">
        <v>308</v>
      </c>
      <c r="F382" s="11" t="n">
        <v>155.5</v>
      </c>
      <c r="G382" s="9" t="s">
        <v>309</v>
      </c>
      <c r="H382" s="9" t="s">
        <v>727</v>
      </c>
    </row>
    <row r="383" customFormat="false" ht="15" hidden="false" customHeight="false" outlineLevel="0" collapsed="false">
      <c r="A383" s="14" t="s">
        <v>153</v>
      </c>
      <c r="B383" s="14" t="s">
        <v>154</v>
      </c>
      <c r="C383" s="14" t="s">
        <v>330</v>
      </c>
      <c r="D383" s="14" t="s">
        <v>48</v>
      </c>
      <c r="E383" s="14" t="s">
        <v>357</v>
      </c>
      <c r="F383" s="16" t="n">
        <v>157</v>
      </c>
      <c r="G383" s="14" t="s">
        <v>309</v>
      </c>
      <c r="H383" s="14" t="s">
        <v>736</v>
      </c>
    </row>
    <row r="384" customFormat="false" ht="15" hidden="false" customHeight="false" outlineLevel="0" collapsed="false">
      <c r="A384" s="9" t="s">
        <v>153</v>
      </c>
      <c r="B384" s="9" t="s">
        <v>154</v>
      </c>
      <c r="C384" s="9" t="s">
        <v>306</v>
      </c>
      <c r="D384" s="9" t="s">
        <v>307</v>
      </c>
      <c r="E384" s="9" t="s">
        <v>308</v>
      </c>
      <c r="F384" s="11" t="n">
        <v>159.95</v>
      </c>
      <c r="G384" s="9" t="s">
        <v>309</v>
      </c>
      <c r="H384" s="9" t="s">
        <v>737</v>
      </c>
    </row>
    <row r="385" customFormat="false" ht="15" hidden="false" customHeight="false" outlineLevel="0" collapsed="false">
      <c r="A385" s="14" t="s">
        <v>153</v>
      </c>
      <c r="B385" s="14" t="s">
        <v>154</v>
      </c>
      <c r="C385" s="14" t="s">
        <v>306</v>
      </c>
      <c r="D385" s="14" t="s">
        <v>307</v>
      </c>
      <c r="E385" s="14" t="s">
        <v>308</v>
      </c>
      <c r="F385" s="16" t="n">
        <v>159.99</v>
      </c>
      <c r="G385" s="14" t="s">
        <v>309</v>
      </c>
      <c r="H385" s="14" t="s">
        <v>738</v>
      </c>
    </row>
    <row r="386" customFormat="false" ht="15" hidden="false" customHeight="false" outlineLevel="0" collapsed="false">
      <c r="A386" s="9" t="s">
        <v>153</v>
      </c>
      <c r="B386" s="9" t="s">
        <v>154</v>
      </c>
      <c r="C386" s="9" t="s">
        <v>330</v>
      </c>
      <c r="D386" s="9" t="s">
        <v>48</v>
      </c>
      <c r="E386" s="9" t="s">
        <v>308</v>
      </c>
      <c r="F386" s="11" t="n">
        <v>165.94</v>
      </c>
      <c r="G386" s="9" t="s">
        <v>309</v>
      </c>
      <c r="H386" s="9" t="s">
        <v>739</v>
      </c>
    </row>
    <row r="387" customFormat="false" ht="15" hidden="false" customHeight="false" outlineLevel="0" collapsed="false">
      <c r="A387" s="14" t="s">
        <v>153</v>
      </c>
      <c r="B387" s="14" t="s">
        <v>154</v>
      </c>
      <c r="C387" s="14" t="s">
        <v>330</v>
      </c>
      <c r="D387" s="14" t="s">
        <v>48</v>
      </c>
      <c r="E387" s="14" t="s">
        <v>308</v>
      </c>
      <c r="F387" s="16" t="n">
        <v>179.5</v>
      </c>
      <c r="G387" s="14" t="s">
        <v>309</v>
      </c>
      <c r="H387" s="14" t="s">
        <v>740</v>
      </c>
    </row>
    <row r="388" customFormat="false" ht="15" hidden="false" customHeight="false" outlineLevel="0" collapsed="false">
      <c r="A388" s="9" t="s">
        <v>153</v>
      </c>
      <c r="B388" s="9" t="s">
        <v>154</v>
      </c>
      <c r="C388" s="9" t="s">
        <v>330</v>
      </c>
      <c r="D388" s="9" t="s">
        <v>48</v>
      </c>
      <c r="E388" s="9" t="s">
        <v>308</v>
      </c>
      <c r="F388" s="11" t="n">
        <v>196.99</v>
      </c>
      <c r="G388" s="9" t="s">
        <v>309</v>
      </c>
      <c r="H388" s="9" t="s">
        <v>741</v>
      </c>
    </row>
    <row r="389" customFormat="false" ht="15" hidden="false" customHeight="false" outlineLevel="0" collapsed="false">
      <c r="A389" s="14" t="s">
        <v>153</v>
      </c>
      <c r="B389" s="14" t="s">
        <v>154</v>
      </c>
      <c r="C389" s="14" t="s">
        <v>311</v>
      </c>
      <c r="D389" s="14" t="s">
        <v>41</v>
      </c>
      <c r="E389" s="14" t="s">
        <v>308</v>
      </c>
      <c r="F389" s="16" t="n">
        <v>214.99</v>
      </c>
      <c r="G389" s="14" t="s">
        <v>309</v>
      </c>
      <c r="H389" s="14" t="s">
        <v>742</v>
      </c>
    </row>
    <row r="390" customFormat="false" ht="15" hidden="false" customHeight="false" outlineLevel="0" collapsed="false">
      <c r="A390" s="9" t="s">
        <v>153</v>
      </c>
      <c r="B390" s="9" t="s">
        <v>154</v>
      </c>
      <c r="C390" s="9" t="s">
        <v>315</v>
      </c>
      <c r="D390" s="9" t="s">
        <v>41</v>
      </c>
      <c r="E390" s="9" t="s">
        <v>308</v>
      </c>
      <c r="F390" s="11" t="n">
        <v>269</v>
      </c>
      <c r="G390" s="9" t="s">
        <v>309</v>
      </c>
      <c r="H390" s="9" t="s">
        <v>743</v>
      </c>
    </row>
    <row r="391" customFormat="false" ht="15" hidden="false" customHeight="false" outlineLevel="0" collapsed="false">
      <c r="A391" s="14" t="s">
        <v>157</v>
      </c>
      <c r="B391" s="14" t="s">
        <v>47</v>
      </c>
      <c r="C391" s="14" t="s">
        <v>369</v>
      </c>
      <c r="D391" s="14" t="s">
        <v>53</v>
      </c>
      <c r="E391" s="14" t="s">
        <v>308</v>
      </c>
      <c r="F391" s="16" t="n">
        <v>200</v>
      </c>
      <c r="G391" s="14" t="s">
        <v>744</v>
      </c>
      <c r="H391" s="14" t="s">
        <v>745</v>
      </c>
    </row>
    <row r="392" customFormat="false" ht="15" hidden="false" customHeight="false" outlineLevel="0" collapsed="false">
      <c r="A392" s="9" t="s">
        <v>157</v>
      </c>
      <c r="B392" s="9" t="s">
        <v>47</v>
      </c>
      <c r="C392" s="9" t="s">
        <v>369</v>
      </c>
      <c r="D392" s="9" t="s">
        <v>53</v>
      </c>
      <c r="E392" s="9" t="s">
        <v>308</v>
      </c>
      <c r="F392" s="11" t="n">
        <v>200</v>
      </c>
      <c r="G392" s="9" t="s">
        <v>746</v>
      </c>
      <c r="H392" s="9" t="s">
        <v>747</v>
      </c>
    </row>
    <row r="393" customFormat="false" ht="15" hidden="false" customHeight="false" outlineLevel="0" collapsed="false">
      <c r="A393" s="14" t="s">
        <v>157</v>
      </c>
      <c r="B393" s="14" t="s">
        <v>47</v>
      </c>
      <c r="C393" s="14" t="s">
        <v>369</v>
      </c>
      <c r="D393" s="14" t="s">
        <v>53</v>
      </c>
      <c r="E393" s="14" t="s">
        <v>308</v>
      </c>
      <c r="F393" s="16" t="n">
        <v>200</v>
      </c>
      <c r="G393" s="14" t="s">
        <v>680</v>
      </c>
      <c r="H393" s="14" t="s">
        <v>748</v>
      </c>
    </row>
    <row r="394" customFormat="false" ht="15" hidden="false" customHeight="false" outlineLevel="0" collapsed="false">
      <c r="A394" s="9" t="s">
        <v>157</v>
      </c>
      <c r="B394" s="9" t="s">
        <v>47</v>
      </c>
      <c r="C394" s="9" t="s">
        <v>369</v>
      </c>
      <c r="D394" s="9" t="s">
        <v>53</v>
      </c>
      <c r="E394" s="9" t="s">
        <v>308</v>
      </c>
      <c r="F394" s="11" t="n">
        <v>200</v>
      </c>
      <c r="G394" s="9" t="s">
        <v>409</v>
      </c>
      <c r="H394" s="9" t="s">
        <v>749</v>
      </c>
    </row>
    <row r="395" customFormat="false" ht="15" hidden="false" customHeight="false" outlineLevel="0" collapsed="false">
      <c r="A395" s="14" t="s">
        <v>157</v>
      </c>
      <c r="B395" s="14" t="s">
        <v>74</v>
      </c>
      <c r="C395" s="14" t="s">
        <v>306</v>
      </c>
      <c r="D395" s="14" t="s">
        <v>307</v>
      </c>
      <c r="E395" s="14" t="s">
        <v>308</v>
      </c>
      <c r="F395" s="16" t="n">
        <v>160.64</v>
      </c>
      <c r="G395" s="14" t="s">
        <v>309</v>
      </c>
      <c r="H395" s="14" t="s">
        <v>750</v>
      </c>
    </row>
    <row r="396" customFormat="false" ht="15" hidden="false" customHeight="false" outlineLevel="0" collapsed="false">
      <c r="A396" s="9" t="s">
        <v>157</v>
      </c>
      <c r="B396" s="9" t="s">
        <v>154</v>
      </c>
      <c r="C396" s="9" t="s">
        <v>306</v>
      </c>
      <c r="D396" s="9" t="s">
        <v>307</v>
      </c>
      <c r="E396" s="9" t="s">
        <v>308</v>
      </c>
      <c r="F396" s="11" t="n">
        <v>103.5</v>
      </c>
      <c r="G396" s="9" t="s">
        <v>309</v>
      </c>
      <c r="H396" s="9" t="s">
        <v>751</v>
      </c>
    </row>
    <row r="397" customFormat="false" ht="15" hidden="false" customHeight="false" outlineLevel="0" collapsed="false">
      <c r="A397" s="14" t="s">
        <v>157</v>
      </c>
      <c r="B397" s="14" t="s">
        <v>154</v>
      </c>
      <c r="C397" s="14" t="s">
        <v>306</v>
      </c>
      <c r="D397" s="14" t="s">
        <v>307</v>
      </c>
      <c r="E397" s="14" t="s">
        <v>57</v>
      </c>
      <c r="F397" s="16" t="n">
        <v>119.99</v>
      </c>
      <c r="G397" s="14" t="s">
        <v>309</v>
      </c>
      <c r="H397" s="14" t="s">
        <v>752</v>
      </c>
    </row>
    <row r="398" customFormat="false" ht="15" hidden="false" customHeight="false" outlineLevel="0" collapsed="false">
      <c r="A398" s="9" t="s">
        <v>157</v>
      </c>
      <c r="B398" s="9" t="s">
        <v>154</v>
      </c>
      <c r="C398" s="9" t="s">
        <v>369</v>
      </c>
      <c r="D398" s="9" t="s">
        <v>53</v>
      </c>
      <c r="E398" s="9" t="s">
        <v>308</v>
      </c>
      <c r="F398" s="11" t="n">
        <v>180</v>
      </c>
      <c r="G398" s="9" t="s">
        <v>753</v>
      </c>
      <c r="H398" s="9" t="s">
        <v>754</v>
      </c>
    </row>
    <row r="399" customFormat="false" ht="15" hidden="false" customHeight="false" outlineLevel="0" collapsed="false">
      <c r="A399" s="14" t="s">
        <v>159</v>
      </c>
      <c r="B399" s="14" t="s">
        <v>47</v>
      </c>
      <c r="C399" s="14" t="s">
        <v>306</v>
      </c>
      <c r="D399" s="14" t="s">
        <v>307</v>
      </c>
      <c r="E399" s="14" t="s">
        <v>308</v>
      </c>
      <c r="F399" s="16" t="n">
        <v>193.99</v>
      </c>
      <c r="G399" s="14" t="s">
        <v>755</v>
      </c>
      <c r="H399" s="14" t="s">
        <v>756</v>
      </c>
    </row>
    <row r="400" customFormat="false" ht="15" hidden="false" customHeight="false" outlineLevel="0" collapsed="false">
      <c r="A400" s="9" t="s">
        <v>159</v>
      </c>
      <c r="B400" s="9" t="s">
        <v>47</v>
      </c>
      <c r="C400" s="9" t="s">
        <v>306</v>
      </c>
      <c r="D400" s="9" t="s">
        <v>307</v>
      </c>
      <c r="E400" s="9" t="s">
        <v>308</v>
      </c>
      <c r="F400" s="11" t="n">
        <v>199.95</v>
      </c>
      <c r="G400" s="9" t="s">
        <v>757</v>
      </c>
      <c r="H400" s="9" t="s">
        <v>758</v>
      </c>
    </row>
    <row r="401" customFormat="false" ht="15" hidden="false" customHeight="false" outlineLevel="0" collapsed="false">
      <c r="A401" s="14" t="s">
        <v>159</v>
      </c>
      <c r="B401" s="14" t="s">
        <v>47</v>
      </c>
      <c r="C401" s="14" t="s">
        <v>306</v>
      </c>
      <c r="D401" s="14" t="s">
        <v>307</v>
      </c>
      <c r="E401" s="14" t="s">
        <v>308</v>
      </c>
      <c r="F401" s="16" t="n">
        <v>229.99</v>
      </c>
      <c r="G401" s="14" t="s">
        <v>309</v>
      </c>
      <c r="H401" s="14" t="s">
        <v>759</v>
      </c>
    </row>
    <row r="402" customFormat="false" ht="15" hidden="false" customHeight="false" outlineLevel="0" collapsed="false">
      <c r="A402" s="9" t="s">
        <v>159</v>
      </c>
      <c r="B402" s="9" t="s">
        <v>74</v>
      </c>
      <c r="C402" s="9" t="s">
        <v>306</v>
      </c>
      <c r="D402" s="9" t="s">
        <v>307</v>
      </c>
      <c r="E402" s="9" t="s">
        <v>42</v>
      </c>
      <c r="F402" s="11" t="n">
        <v>115</v>
      </c>
      <c r="G402" s="9" t="s">
        <v>309</v>
      </c>
      <c r="H402" s="9" t="s">
        <v>760</v>
      </c>
    </row>
    <row r="403" customFormat="false" ht="15" hidden="false" customHeight="false" outlineLevel="0" collapsed="false">
      <c r="A403" s="14" t="s">
        <v>159</v>
      </c>
      <c r="B403" s="14" t="s">
        <v>154</v>
      </c>
      <c r="C403" s="14" t="s">
        <v>306</v>
      </c>
      <c r="D403" s="14" t="s">
        <v>307</v>
      </c>
      <c r="E403" s="14" t="s">
        <v>308</v>
      </c>
      <c r="F403" s="16" t="n">
        <v>170</v>
      </c>
      <c r="G403" s="14" t="s">
        <v>309</v>
      </c>
      <c r="H403" s="14" t="s">
        <v>761</v>
      </c>
    </row>
    <row r="404" customFormat="false" ht="15" hidden="false" customHeight="false" outlineLevel="0" collapsed="false">
      <c r="A404" s="9" t="s">
        <v>159</v>
      </c>
      <c r="B404" s="9" t="s">
        <v>154</v>
      </c>
      <c r="C404" s="9" t="s">
        <v>306</v>
      </c>
      <c r="D404" s="9" t="s">
        <v>307</v>
      </c>
      <c r="E404" s="9" t="s">
        <v>308</v>
      </c>
      <c r="F404" s="11" t="n">
        <v>199.99</v>
      </c>
      <c r="G404" s="9" t="s">
        <v>309</v>
      </c>
      <c r="H404" s="9" t="s">
        <v>762</v>
      </c>
    </row>
    <row r="405" customFormat="false" ht="15" hidden="false" customHeight="false" outlineLevel="0" collapsed="false">
      <c r="A405" s="14" t="s">
        <v>162</v>
      </c>
      <c r="B405" s="14" t="s">
        <v>47</v>
      </c>
      <c r="C405" s="14" t="s">
        <v>306</v>
      </c>
      <c r="D405" s="14" t="s">
        <v>307</v>
      </c>
      <c r="E405" s="14" t="s">
        <v>308</v>
      </c>
      <c r="F405" s="16" t="n">
        <v>165</v>
      </c>
      <c r="G405" s="14" t="s">
        <v>309</v>
      </c>
      <c r="H405" s="14" t="s">
        <v>763</v>
      </c>
    </row>
    <row r="406" customFormat="false" ht="15" hidden="false" customHeight="false" outlineLevel="0" collapsed="false">
      <c r="A406" s="9" t="s">
        <v>167</v>
      </c>
      <c r="B406" s="9" t="s">
        <v>74</v>
      </c>
      <c r="C406" s="9" t="s">
        <v>306</v>
      </c>
      <c r="D406" s="9" t="s">
        <v>307</v>
      </c>
      <c r="E406" s="9" t="s">
        <v>335</v>
      </c>
      <c r="F406" s="11" t="n">
        <v>110</v>
      </c>
      <c r="G406" s="9" t="s">
        <v>309</v>
      </c>
      <c r="H406" s="9" t="s">
        <v>764</v>
      </c>
    </row>
    <row r="407" customFormat="false" ht="15" hidden="false" customHeight="false" outlineLevel="0" collapsed="false">
      <c r="A407" s="14" t="s">
        <v>167</v>
      </c>
      <c r="B407" s="14" t="s">
        <v>74</v>
      </c>
      <c r="C407" s="14" t="s">
        <v>306</v>
      </c>
      <c r="D407" s="14" t="s">
        <v>307</v>
      </c>
      <c r="E407" s="14" t="s">
        <v>308</v>
      </c>
      <c r="F407" s="16" t="n">
        <v>112.5</v>
      </c>
      <c r="G407" s="14" t="s">
        <v>309</v>
      </c>
      <c r="H407" s="14" t="s">
        <v>765</v>
      </c>
    </row>
    <row r="408" customFormat="false" ht="15" hidden="false" customHeight="false" outlineLevel="0" collapsed="false">
      <c r="A408" s="9" t="s">
        <v>167</v>
      </c>
      <c r="B408" s="9" t="s">
        <v>74</v>
      </c>
      <c r="C408" s="9" t="s">
        <v>306</v>
      </c>
      <c r="D408" s="9" t="s">
        <v>307</v>
      </c>
      <c r="E408" s="9" t="s">
        <v>308</v>
      </c>
      <c r="F408" s="11" t="n">
        <v>127.5</v>
      </c>
      <c r="G408" s="9" t="s">
        <v>309</v>
      </c>
      <c r="H408" s="9" t="s">
        <v>766</v>
      </c>
    </row>
    <row r="409" customFormat="false" ht="15" hidden="false" customHeight="false" outlineLevel="0" collapsed="false">
      <c r="A409" s="14" t="s">
        <v>167</v>
      </c>
      <c r="B409" s="14" t="s">
        <v>74</v>
      </c>
      <c r="C409" s="14" t="s">
        <v>306</v>
      </c>
      <c r="D409" s="14" t="s">
        <v>307</v>
      </c>
      <c r="E409" s="14" t="s">
        <v>317</v>
      </c>
      <c r="F409" s="16" t="n">
        <v>130</v>
      </c>
      <c r="G409" s="14" t="s">
        <v>309</v>
      </c>
      <c r="H409" s="14" t="s">
        <v>767</v>
      </c>
    </row>
    <row r="410" customFormat="false" ht="15" hidden="false" customHeight="false" outlineLevel="0" collapsed="false">
      <c r="A410" s="9" t="s">
        <v>167</v>
      </c>
      <c r="B410" s="9" t="s">
        <v>74</v>
      </c>
      <c r="C410" s="9" t="s">
        <v>306</v>
      </c>
      <c r="D410" s="9" t="s">
        <v>307</v>
      </c>
      <c r="E410" s="9" t="s">
        <v>308</v>
      </c>
      <c r="F410" s="11" t="n">
        <v>139.99</v>
      </c>
      <c r="G410" s="9" t="s">
        <v>309</v>
      </c>
      <c r="H410" s="9" t="s">
        <v>768</v>
      </c>
    </row>
    <row r="411" customFormat="false" ht="15" hidden="false" customHeight="false" outlineLevel="0" collapsed="false">
      <c r="A411" s="14" t="s">
        <v>167</v>
      </c>
      <c r="B411" s="14" t="s">
        <v>154</v>
      </c>
      <c r="C411" s="14" t="s">
        <v>306</v>
      </c>
      <c r="D411" s="14" t="s">
        <v>307</v>
      </c>
      <c r="E411" s="14" t="s">
        <v>308</v>
      </c>
      <c r="F411" s="16" t="n">
        <v>45</v>
      </c>
      <c r="G411" s="14" t="s">
        <v>309</v>
      </c>
      <c r="H411" s="14" t="s">
        <v>769</v>
      </c>
    </row>
    <row r="412" customFormat="false" ht="15" hidden="false" customHeight="false" outlineLevel="0" collapsed="false">
      <c r="A412" s="9" t="s">
        <v>167</v>
      </c>
      <c r="B412" s="9" t="s">
        <v>154</v>
      </c>
      <c r="C412" s="9" t="s">
        <v>306</v>
      </c>
      <c r="D412" s="9" t="s">
        <v>307</v>
      </c>
      <c r="E412" s="9" t="s">
        <v>308</v>
      </c>
      <c r="F412" s="11" t="n">
        <v>100</v>
      </c>
      <c r="G412" s="9" t="s">
        <v>309</v>
      </c>
      <c r="H412" s="9" t="s">
        <v>770</v>
      </c>
    </row>
    <row r="413" customFormat="false" ht="15" hidden="false" customHeight="false" outlineLevel="0" collapsed="false">
      <c r="A413" s="14" t="s">
        <v>167</v>
      </c>
      <c r="B413" s="14" t="s">
        <v>154</v>
      </c>
      <c r="C413" s="14" t="s">
        <v>306</v>
      </c>
      <c r="D413" s="14" t="s">
        <v>307</v>
      </c>
      <c r="E413" s="14" t="s">
        <v>335</v>
      </c>
      <c r="F413" s="16" t="n">
        <v>100</v>
      </c>
      <c r="G413" s="14" t="s">
        <v>309</v>
      </c>
      <c r="H413" s="14" t="s">
        <v>771</v>
      </c>
    </row>
    <row r="414" customFormat="false" ht="15" hidden="false" customHeight="false" outlineLevel="0" collapsed="false">
      <c r="A414" s="9" t="s">
        <v>167</v>
      </c>
      <c r="B414" s="9" t="s">
        <v>154</v>
      </c>
      <c r="C414" s="9" t="s">
        <v>306</v>
      </c>
      <c r="D414" s="9" t="s">
        <v>307</v>
      </c>
      <c r="E414" s="9" t="s">
        <v>308</v>
      </c>
      <c r="F414" s="11" t="n">
        <v>109</v>
      </c>
      <c r="G414" s="9" t="s">
        <v>309</v>
      </c>
      <c r="H414" s="9" t="s">
        <v>772</v>
      </c>
    </row>
    <row r="415" customFormat="false" ht="15" hidden="false" customHeight="false" outlineLevel="0" collapsed="false">
      <c r="A415" s="14" t="s">
        <v>167</v>
      </c>
      <c r="B415" s="14" t="s">
        <v>154</v>
      </c>
      <c r="C415" s="14" t="s">
        <v>306</v>
      </c>
      <c r="D415" s="14" t="s">
        <v>307</v>
      </c>
      <c r="E415" s="14" t="s">
        <v>308</v>
      </c>
      <c r="F415" s="16" t="n">
        <v>112.5</v>
      </c>
      <c r="G415" s="14" t="s">
        <v>309</v>
      </c>
      <c r="H415" s="14" t="s">
        <v>167</v>
      </c>
    </row>
    <row r="416" customFormat="false" ht="15" hidden="false" customHeight="false" outlineLevel="0" collapsed="false">
      <c r="A416" s="9" t="s">
        <v>167</v>
      </c>
      <c r="B416" s="9" t="s">
        <v>154</v>
      </c>
      <c r="C416" s="9" t="s">
        <v>306</v>
      </c>
      <c r="D416" s="9" t="s">
        <v>307</v>
      </c>
      <c r="E416" s="9" t="s">
        <v>308</v>
      </c>
      <c r="F416" s="11" t="n">
        <v>114.99</v>
      </c>
      <c r="G416" s="9" t="s">
        <v>309</v>
      </c>
      <c r="H416" s="9" t="s">
        <v>773</v>
      </c>
    </row>
    <row r="417" customFormat="false" ht="15" hidden="false" customHeight="false" outlineLevel="0" collapsed="false">
      <c r="A417" s="14" t="s">
        <v>167</v>
      </c>
      <c r="B417" s="14" t="s">
        <v>154</v>
      </c>
      <c r="C417" s="14" t="s">
        <v>306</v>
      </c>
      <c r="D417" s="14" t="s">
        <v>307</v>
      </c>
      <c r="E417" s="14" t="s">
        <v>308</v>
      </c>
      <c r="F417" s="16" t="n">
        <v>121.88</v>
      </c>
      <c r="G417" s="14" t="s">
        <v>309</v>
      </c>
      <c r="H417" s="14" t="s">
        <v>774</v>
      </c>
    </row>
    <row r="418" customFormat="false" ht="15" hidden="false" customHeight="false" outlineLevel="0" collapsed="false">
      <c r="A418" s="9" t="s">
        <v>167</v>
      </c>
      <c r="B418" s="9" t="s">
        <v>154</v>
      </c>
      <c r="C418" s="9" t="s">
        <v>306</v>
      </c>
      <c r="D418" s="9" t="s">
        <v>307</v>
      </c>
      <c r="E418" s="9" t="s">
        <v>308</v>
      </c>
      <c r="F418" s="11" t="n">
        <v>125</v>
      </c>
      <c r="G418" s="9" t="s">
        <v>309</v>
      </c>
      <c r="H418" s="9" t="s">
        <v>775</v>
      </c>
    </row>
    <row r="419" customFormat="false" ht="15" hidden="false" customHeight="false" outlineLevel="0" collapsed="false">
      <c r="A419" s="14" t="s">
        <v>167</v>
      </c>
      <c r="B419" s="14" t="s">
        <v>154</v>
      </c>
      <c r="C419" s="14" t="s">
        <v>306</v>
      </c>
      <c r="D419" s="14" t="s">
        <v>307</v>
      </c>
      <c r="E419" s="14" t="s">
        <v>308</v>
      </c>
      <c r="F419" s="16" t="n">
        <v>125</v>
      </c>
      <c r="G419" s="14" t="s">
        <v>309</v>
      </c>
      <c r="H419" s="14" t="s">
        <v>776</v>
      </c>
    </row>
    <row r="420" customFormat="false" ht="15" hidden="false" customHeight="false" outlineLevel="0" collapsed="false">
      <c r="A420" s="9" t="s">
        <v>167</v>
      </c>
      <c r="B420" s="9" t="s">
        <v>154</v>
      </c>
      <c r="C420" s="9" t="s">
        <v>306</v>
      </c>
      <c r="D420" s="9" t="s">
        <v>307</v>
      </c>
      <c r="E420" s="9" t="s">
        <v>308</v>
      </c>
      <c r="F420" s="11" t="n">
        <v>139</v>
      </c>
      <c r="G420" s="9" t="s">
        <v>309</v>
      </c>
      <c r="H420" s="9" t="s">
        <v>777</v>
      </c>
    </row>
    <row r="421" customFormat="false" ht="15" hidden="false" customHeight="false" outlineLevel="0" collapsed="false">
      <c r="A421" s="14" t="s">
        <v>167</v>
      </c>
      <c r="B421" s="14" t="s">
        <v>154</v>
      </c>
      <c r="C421" s="14" t="s">
        <v>306</v>
      </c>
      <c r="D421" s="14" t="s">
        <v>307</v>
      </c>
      <c r="E421" s="14" t="s">
        <v>308</v>
      </c>
      <c r="F421" s="16" t="n">
        <v>149.99</v>
      </c>
      <c r="G421" s="14" t="s">
        <v>309</v>
      </c>
      <c r="H421" s="14" t="s">
        <v>778</v>
      </c>
    </row>
    <row r="422" customFormat="false" ht="15" hidden="false" customHeight="false" outlineLevel="0" collapsed="false">
      <c r="A422" s="9" t="s">
        <v>167</v>
      </c>
      <c r="B422" s="9" t="s">
        <v>154</v>
      </c>
      <c r="C422" s="9" t="s">
        <v>306</v>
      </c>
      <c r="D422" s="9" t="s">
        <v>307</v>
      </c>
      <c r="E422" s="9" t="s">
        <v>308</v>
      </c>
      <c r="F422" s="11" t="n">
        <v>150</v>
      </c>
      <c r="G422" s="9" t="s">
        <v>309</v>
      </c>
      <c r="H422" s="9" t="s">
        <v>779</v>
      </c>
    </row>
    <row r="423" customFormat="false" ht="15" hidden="false" customHeight="false" outlineLevel="0" collapsed="false">
      <c r="A423" s="14" t="s">
        <v>780</v>
      </c>
      <c r="B423" s="14" t="s">
        <v>40</v>
      </c>
      <c r="C423" s="14" t="s">
        <v>311</v>
      </c>
      <c r="D423" s="14" t="s">
        <v>41</v>
      </c>
      <c r="E423" s="14" t="s">
        <v>308</v>
      </c>
      <c r="F423" s="16" t="n">
        <v>992</v>
      </c>
      <c r="G423" s="14" t="s">
        <v>781</v>
      </c>
      <c r="H423" s="14" t="s">
        <v>782</v>
      </c>
    </row>
  </sheetData>
  <autoFilter ref="A1:H4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8" min="6" style="0" width="13"/>
  </cols>
  <sheetData>
    <row r="1" customFormat="false" ht="42" hidden="false" customHeight="true" outlineLevel="0" collapsed="false">
      <c r="A1" s="7" t="s">
        <v>296</v>
      </c>
      <c r="B1" s="7" t="s">
        <v>783</v>
      </c>
      <c r="C1" s="7" t="s">
        <v>784</v>
      </c>
      <c r="D1" s="7" t="s">
        <v>300</v>
      </c>
      <c r="E1" s="7" t="s">
        <v>785</v>
      </c>
      <c r="F1" s="7" t="s">
        <v>786</v>
      </c>
      <c r="G1" s="7" t="s">
        <v>787</v>
      </c>
      <c r="H1" s="7" t="s">
        <v>788</v>
      </c>
    </row>
    <row r="2" customFormat="false" ht="15" hidden="false" customHeight="false" outlineLevel="0" collapsed="false">
      <c r="A2" s="9" t="s">
        <v>39</v>
      </c>
      <c r="B2" s="8" t="s">
        <v>308</v>
      </c>
      <c r="C2" s="8" t="s">
        <v>47</v>
      </c>
      <c r="D2" s="8" t="s">
        <v>209</v>
      </c>
      <c r="E2" s="8" t="n">
        <v>14</v>
      </c>
      <c r="F2" s="11" t="n">
        <v>780</v>
      </c>
      <c r="G2" s="11" t="n">
        <v>925</v>
      </c>
      <c r="H2" s="11" t="n">
        <v>943</v>
      </c>
    </row>
    <row r="3" customFormat="false" ht="15" hidden="false" customHeight="false" outlineLevel="0" collapsed="false">
      <c r="A3" s="14" t="s">
        <v>39</v>
      </c>
      <c r="B3" s="13" t="s">
        <v>308</v>
      </c>
      <c r="C3" s="13" t="s">
        <v>47</v>
      </c>
      <c r="D3" s="13" t="s">
        <v>213</v>
      </c>
      <c r="E3" s="13" t="n">
        <v>14</v>
      </c>
      <c r="F3" s="16" t="n">
        <v>700</v>
      </c>
      <c r="G3" s="16" t="n">
        <v>860</v>
      </c>
      <c r="H3" s="16" t="n">
        <v>885</v>
      </c>
    </row>
    <row r="4" customFormat="false" ht="15" hidden="false" customHeight="false" outlineLevel="0" collapsed="false">
      <c r="A4" s="9" t="s">
        <v>39</v>
      </c>
      <c r="B4" s="8" t="s">
        <v>308</v>
      </c>
      <c r="C4" s="8" t="s">
        <v>47</v>
      </c>
      <c r="D4" s="8" t="s">
        <v>789</v>
      </c>
      <c r="E4" s="8" t="n">
        <v>13</v>
      </c>
      <c r="F4" s="11" t="n">
        <v>285</v>
      </c>
      <c r="G4" s="11" t="n">
        <v>531</v>
      </c>
      <c r="H4" s="11" t="n">
        <v>770</v>
      </c>
    </row>
    <row r="5" customFormat="false" ht="15" hidden="false" customHeight="false" outlineLevel="0" collapsed="false">
      <c r="A5" s="14" t="s">
        <v>39</v>
      </c>
      <c r="B5" s="13" t="s">
        <v>308</v>
      </c>
      <c r="C5" s="13" t="s">
        <v>47</v>
      </c>
      <c r="D5" s="13" t="s">
        <v>790</v>
      </c>
      <c r="E5" s="13" t="n">
        <v>12</v>
      </c>
      <c r="F5" s="16" t="n">
        <v>85</v>
      </c>
      <c r="G5" s="16" t="n">
        <v>331</v>
      </c>
      <c r="H5" s="16" t="n">
        <v>561</v>
      </c>
    </row>
    <row r="6" customFormat="false" ht="15" hidden="false" customHeight="false" outlineLevel="0" collapsed="false">
      <c r="A6" s="9" t="s">
        <v>39</v>
      </c>
      <c r="B6" s="8" t="s">
        <v>308</v>
      </c>
      <c r="C6" s="8" t="s">
        <v>40</v>
      </c>
      <c r="D6" s="8" t="s">
        <v>209</v>
      </c>
      <c r="E6" s="8" t="n">
        <v>14</v>
      </c>
      <c r="F6" s="11" t="n">
        <v>876</v>
      </c>
      <c r="G6" s="11" t="n">
        <v>1025</v>
      </c>
      <c r="H6" s="11" t="n">
        <v>1039</v>
      </c>
    </row>
    <row r="7" customFormat="false" ht="15" hidden="false" customHeight="false" outlineLevel="0" collapsed="false">
      <c r="A7" s="14" t="s">
        <v>39</v>
      </c>
      <c r="B7" s="13" t="s">
        <v>308</v>
      </c>
      <c r="C7" s="13" t="s">
        <v>40</v>
      </c>
      <c r="D7" s="13" t="s">
        <v>213</v>
      </c>
      <c r="E7" s="13" t="n">
        <v>14</v>
      </c>
      <c r="F7" s="16" t="n">
        <v>785</v>
      </c>
      <c r="G7" s="16" t="n">
        <v>960</v>
      </c>
      <c r="H7" s="16" t="n">
        <v>985</v>
      </c>
    </row>
    <row r="8" customFormat="false" ht="15" hidden="false" customHeight="false" outlineLevel="0" collapsed="false">
      <c r="A8" s="9" t="s">
        <v>39</v>
      </c>
      <c r="B8" s="8" t="s">
        <v>308</v>
      </c>
      <c r="C8" s="8" t="s">
        <v>40</v>
      </c>
      <c r="D8" s="8" t="s">
        <v>789</v>
      </c>
      <c r="E8" s="8" t="n">
        <v>13</v>
      </c>
      <c r="F8" s="11" t="n">
        <v>295</v>
      </c>
      <c r="G8" s="11" t="n">
        <v>593</v>
      </c>
      <c r="H8" s="11" t="n">
        <v>870</v>
      </c>
    </row>
    <row r="9" customFormat="false" ht="15" hidden="false" customHeight="false" outlineLevel="0" collapsed="false">
      <c r="A9" s="14" t="s">
        <v>39</v>
      </c>
      <c r="B9" s="13" t="s">
        <v>308</v>
      </c>
      <c r="C9" s="13" t="s">
        <v>40</v>
      </c>
      <c r="D9" s="13" t="s">
        <v>790</v>
      </c>
      <c r="E9" s="13" t="n">
        <v>12</v>
      </c>
      <c r="F9" s="16" t="n">
        <v>90</v>
      </c>
      <c r="G9" s="16" t="n">
        <v>376</v>
      </c>
      <c r="H9" s="16" t="n">
        <v>721</v>
      </c>
    </row>
    <row r="10" customFormat="false" ht="15" hidden="false" customHeight="false" outlineLevel="0" collapsed="false">
      <c r="A10" s="9" t="s">
        <v>39</v>
      </c>
      <c r="B10" s="8" t="s">
        <v>308</v>
      </c>
      <c r="C10" s="8" t="s">
        <v>63</v>
      </c>
      <c r="D10" s="8" t="s">
        <v>209</v>
      </c>
      <c r="E10" s="8" t="n">
        <v>13</v>
      </c>
      <c r="F10" s="11" t="n">
        <v>950</v>
      </c>
      <c r="G10" s="11" t="n">
        <v>1090</v>
      </c>
      <c r="H10" s="11" t="n">
        <v>1101</v>
      </c>
    </row>
    <row r="11" customFormat="false" ht="15" hidden="false" customHeight="false" outlineLevel="0" collapsed="false">
      <c r="A11" s="14" t="s">
        <v>39</v>
      </c>
      <c r="B11" s="13" t="s">
        <v>308</v>
      </c>
      <c r="C11" s="13" t="s">
        <v>63</v>
      </c>
      <c r="D11" s="13" t="s">
        <v>213</v>
      </c>
      <c r="E11" s="13" t="n">
        <v>13</v>
      </c>
      <c r="F11" s="16" t="n">
        <v>869</v>
      </c>
      <c r="G11" s="16" t="n">
        <v>1025</v>
      </c>
      <c r="H11" s="16" t="n">
        <v>1050</v>
      </c>
    </row>
    <row r="12" customFormat="false" ht="15" hidden="false" customHeight="false" outlineLevel="0" collapsed="false">
      <c r="A12" s="9" t="s">
        <v>39</v>
      </c>
      <c r="B12" s="8" t="s">
        <v>308</v>
      </c>
      <c r="C12" s="8" t="s">
        <v>63</v>
      </c>
      <c r="D12" s="8" t="s">
        <v>789</v>
      </c>
      <c r="E12" s="8" t="n">
        <v>13</v>
      </c>
      <c r="F12" s="11" t="n">
        <v>305</v>
      </c>
      <c r="G12" s="11" t="n">
        <v>633</v>
      </c>
      <c r="H12" s="11" t="n">
        <v>935</v>
      </c>
    </row>
    <row r="13" customFormat="false" ht="15" hidden="false" customHeight="false" outlineLevel="0" collapsed="false">
      <c r="A13" s="14" t="s">
        <v>39</v>
      </c>
      <c r="B13" s="13" t="s">
        <v>308</v>
      </c>
      <c r="C13" s="13" t="s">
        <v>63</v>
      </c>
      <c r="D13" s="13" t="s">
        <v>790</v>
      </c>
      <c r="E13" s="13" t="n">
        <v>12</v>
      </c>
      <c r="F13" s="16" t="n">
        <v>90</v>
      </c>
      <c r="G13" s="16" t="n">
        <v>425</v>
      </c>
      <c r="H13" s="16" t="n">
        <v>831</v>
      </c>
    </row>
    <row r="15" customFormat="false" ht="15" hidden="false" customHeight="false" outlineLevel="0" collapsed="false">
      <c r="A15" s="5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2026-08-02T07:55:35Z</dcterms:created>
  <dc:creator>openpyxl</dc:creator>
  <dc:description/>
  <dc:language>en-US</dc:language>
  <cp:lastModifiedBy/>
  <dcterms:modified xsi:type="dcterms:W3CDTF">2026-08-02T07:55:35Z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